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D91E0E4A-197D-C446-91CA-C596C1F8347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oject Guide" sheetId="1" r:id="rId1"/>
    <sheet name="Pivot Analysis" sheetId="2" r:id="rId2"/>
    <sheet name="Segmentation Logic" sheetId="3" r:id="rId3"/>
    <sheet name="Cleaned Data" sheetId="4" r:id="rId4"/>
    <sheet name="Raw Data" sheetId="5" r:id="rId5"/>
    <sheet name="KPI Summary" sheetId="6" r:id="rId6"/>
    <sheet name="Dashboard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8" i="7" l="1"/>
  <c r="J57" i="7"/>
  <c r="J56" i="7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N55" i="7"/>
  <c r="M55" i="7"/>
  <c r="J55" i="7"/>
  <c r="C55" i="7"/>
  <c r="B55" i="7"/>
  <c r="N54" i="7"/>
  <c r="M54" i="7"/>
  <c r="J54" i="7"/>
  <c r="G54" i="7"/>
  <c r="F54" i="7"/>
  <c r="C54" i="7"/>
  <c r="B54" i="7"/>
  <c r="P5" i="7"/>
  <c r="M5" i="7"/>
  <c r="J5" i="7"/>
  <c r="G5" i="7"/>
  <c r="D5" i="7"/>
  <c r="A5" i="7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K24" i="6"/>
  <c r="J24" i="6"/>
  <c r="I24" i="6"/>
  <c r="H24" i="6"/>
  <c r="G24" i="6"/>
  <c r="F24" i="6"/>
  <c r="E24" i="6"/>
  <c r="D24" i="6"/>
  <c r="C24" i="6"/>
  <c r="B24" i="6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20" i="6"/>
  <c r="J20" i="6"/>
  <c r="I20" i="6"/>
  <c r="H20" i="6"/>
  <c r="G20" i="6"/>
  <c r="F20" i="6"/>
  <c r="E20" i="6"/>
  <c r="D20" i="6"/>
  <c r="C20" i="6"/>
  <c r="B20" i="6"/>
  <c r="J14" i="6"/>
  <c r="G14" i="6"/>
  <c r="D14" i="6"/>
  <c r="A14" i="6"/>
  <c r="J9" i="6"/>
  <c r="G9" i="6"/>
  <c r="D9" i="6"/>
  <c r="A9" i="6"/>
  <c r="J4" i="6"/>
  <c r="G4" i="6"/>
  <c r="D4" i="6"/>
  <c r="A4" i="6"/>
  <c r="Q122" i="4"/>
  <c r="U122" i="4"/>
  <c r="I122" i="4"/>
  <c r="K122" i="4"/>
  <c r="V122" i="4"/>
  <c r="G122" i="4"/>
  <c r="T122" i="4"/>
  <c r="B122" i="4"/>
  <c r="S122" i="4"/>
  <c r="R122" i="4"/>
  <c r="P122" i="4"/>
  <c r="O122" i="4"/>
  <c r="N122" i="4"/>
  <c r="M122" i="4"/>
  <c r="L122" i="4"/>
  <c r="J122" i="4"/>
  <c r="H122" i="4"/>
  <c r="F122" i="4"/>
  <c r="E122" i="4"/>
  <c r="D122" i="4"/>
  <c r="C122" i="4"/>
  <c r="A122" i="4"/>
  <c r="Q121" i="4"/>
  <c r="U121" i="4"/>
  <c r="I121" i="4"/>
  <c r="K121" i="4"/>
  <c r="V121" i="4"/>
  <c r="G121" i="4"/>
  <c r="T121" i="4"/>
  <c r="B121" i="4"/>
  <c r="S121" i="4"/>
  <c r="R121" i="4"/>
  <c r="P121" i="4"/>
  <c r="O121" i="4"/>
  <c r="N121" i="4"/>
  <c r="M121" i="4"/>
  <c r="L121" i="4"/>
  <c r="J121" i="4"/>
  <c r="H121" i="4"/>
  <c r="F121" i="4"/>
  <c r="E121" i="4"/>
  <c r="D121" i="4"/>
  <c r="C121" i="4"/>
  <c r="A121" i="4"/>
  <c r="Q120" i="4"/>
  <c r="U120" i="4"/>
  <c r="I120" i="4"/>
  <c r="K120" i="4"/>
  <c r="V120" i="4"/>
  <c r="G120" i="4"/>
  <c r="T120" i="4"/>
  <c r="B120" i="4"/>
  <c r="S120" i="4"/>
  <c r="R120" i="4"/>
  <c r="P120" i="4"/>
  <c r="O120" i="4"/>
  <c r="N120" i="4"/>
  <c r="M120" i="4"/>
  <c r="L120" i="4"/>
  <c r="J120" i="4"/>
  <c r="H120" i="4"/>
  <c r="F120" i="4"/>
  <c r="E120" i="4"/>
  <c r="D120" i="4"/>
  <c r="C120" i="4"/>
  <c r="A120" i="4"/>
  <c r="Q119" i="4"/>
  <c r="U119" i="4"/>
  <c r="I119" i="4"/>
  <c r="K119" i="4"/>
  <c r="V119" i="4"/>
  <c r="G119" i="4"/>
  <c r="T119" i="4"/>
  <c r="B119" i="4"/>
  <c r="S119" i="4"/>
  <c r="R119" i="4"/>
  <c r="P119" i="4"/>
  <c r="O119" i="4"/>
  <c r="N119" i="4"/>
  <c r="M119" i="4"/>
  <c r="L119" i="4"/>
  <c r="J119" i="4"/>
  <c r="H119" i="4"/>
  <c r="F119" i="4"/>
  <c r="E119" i="4"/>
  <c r="D119" i="4"/>
  <c r="C119" i="4"/>
  <c r="A119" i="4"/>
  <c r="Q118" i="4"/>
  <c r="U118" i="4"/>
  <c r="I118" i="4"/>
  <c r="K118" i="4"/>
  <c r="V118" i="4"/>
  <c r="G118" i="4"/>
  <c r="T118" i="4"/>
  <c r="B118" i="4"/>
  <c r="S118" i="4"/>
  <c r="R118" i="4"/>
  <c r="P118" i="4"/>
  <c r="O118" i="4"/>
  <c r="N118" i="4"/>
  <c r="M118" i="4"/>
  <c r="L118" i="4"/>
  <c r="J118" i="4"/>
  <c r="H118" i="4"/>
  <c r="F118" i="4"/>
  <c r="E118" i="4"/>
  <c r="D118" i="4"/>
  <c r="C118" i="4"/>
  <c r="A118" i="4"/>
  <c r="Q117" i="4"/>
  <c r="U117" i="4"/>
  <c r="I117" i="4"/>
  <c r="K117" i="4"/>
  <c r="V117" i="4"/>
  <c r="G117" i="4"/>
  <c r="T117" i="4"/>
  <c r="B117" i="4"/>
  <c r="S117" i="4"/>
  <c r="R117" i="4"/>
  <c r="P117" i="4"/>
  <c r="O117" i="4"/>
  <c r="N117" i="4"/>
  <c r="M117" i="4"/>
  <c r="L117" i="4"/>
  <c r="J117" i="4"/>
  <c r="H117" i="4"/>
  <c r="F117" i="4"/>
  <c r="E117" i="4"/>
  <c r="D117" i="4"/>
  <c r="C117" i="4"/>
  <c r="A117" i="4"/>
  <c r="Q116" i="4"/>
  <c r="U116" i="4"/>
  <c r="I116" i="4"/>
  <c r="K116" i="4"/>
  <c r="V116" i="4"/>
  <c r="G116" i="4"/>
  <c r="T116" i="4"/>
  <c r="B116" i="4"/>
  <c r="S116" i="4"/>
  <c r="R116" i="4"/>
  <c r="P116" i="4"/>
  <c r="O116" i="4"/>
  <c r="N116" i="4"/>
  <c r="M116" i="4"/>
  <c r="L116" i="4"/>
  <c r="J116" i="4"/>
  <c r="H116" i="4"/>
  <c r="F116" i="4"/>
  <c r="E116" i="4"/>
  <c r="D116" i="4"/>
  <c r="C116" i="4"/>
  <c r="A116" i="4"/>
  <c r="Q115" i="4"/>
  <c r="U115" i="4"/>
  <c r="I115" i="4"/>
  <c r="K115" i="4"/>
  <c r="V115" i="4"/>
  <c r="G115" i="4"/>
  <c r="T115" i="4"/>
  <c r="B115" i="4"/>
  <c r="S115" i="4"/>
  <c r="R115" i="4"/>
  <c r="P115" i="4"/>
  <c r="O115" i="4"/>
  <c r="N115" i="4"/>
  <c r="M115" i="4"/>
  <c r="L115" i="4"/>
  <c r="J115" i="4"/>
  <c r="H115" i="4"/>
  <c r="F115" i="4"/>
  <c r="E115" i="4"/>
  <c r="D115" i="4"/>
  <c r="C115" i="4"/>
  <c r="A115" i="4"/>
  <c r="Q114" i="4"/>
  <c r="U114" i="4"/>
  <c r="I114" i="4"/>
  <c r="K114" i="4"/>
  <c r="V114" i="4"/>
  <c r="G114" i="4"/>
  <c r="T114" i="4"/>
  <c r="B114" i="4"/>
  <c r="S114" i="4"/>
  <c r="R114" i="4"/>
  <c r="P114" i="4"/>
  <c r="O114" i="4"/>
  <c r="N114" i="4"/>
  <c r="M114" i="4"/>
  <c r="L114" i="4"/>
  <c r="J114" i="4"/>
  <c r="H114" i="4"/>
  <c r="F114" i="4"/>
  <c r="E114" i="4"/>
  <c r="D114" i="4"/>
  <c r="C114" i="4"/>
  <c r="A114" i="4"/>
  <c r="Q113" i="4"/>
  <c r="U113" i="4"/>
  <c r="I113" i="4"/>
  <c r="K113" i="4"/>
  <c r="V113" i="4"/>
  <c r="G113" i="4"/>
  <c r="T113" i="4"/>
  <c r="B113" i="4"/>
  <c r="S113" i="4"/>
  <c r="R113" i="4"/>
  <c r="P113" i="4"/>
  <c r="O113" i="4"/>
  <c r="N113" i="4"/>
  <c r="M113" i="4"/>
  <c r="L113" i="4"/>
  <c r="J113" i="4"/>
  <c r="H113" i="4"/>
  <c r="F113" i="4"/>
  <c r="E113" i="4"/>
  <c r="D113" i="4"/>
  <c r="C113" i="4"/>
  <c r="A113" i="4"/>
  <c r="Q112" i="4"/>
  <c r="U112" i="4"/>
  <c r="I112" i="4"/>
  <c r="K112" i="4"/>
  <c r="V112" i="4"/>
  <c r="G112" i="4"/>
  <c r="T112" i="4"/>
  <c r="B112" i="4"/>
  <c r="S112" i="4"/>
  <c r="R112" i="4"/>
  <c r="P112" i="4"/>
  <c r="O112" i="4"/>
  <c r="N112" i="4"/>
  <c r="M112" i="4"/>
  <c r="L112" i="4"/>
  <c r="J112" i="4"/>
  <c r="H112" i="4"/>
  <c r="F112" i="4"/>
  <c r="E112" i="4"/>
  <c r="D112" i="4"/>
  <c r="C112" i="4"/>
  <c r="A112" i="4"/>
  <c r="Q111" i="4"/>
  <c r="U111" i="4"/>
  <c r="I111" i="4"/>
  <c r="K111" i="4"/>
  <c r="V111" i="4"/>
  <c r="G111" i="4"/>
  <c r="T111" i="4"/>
  <c r="B111" i="4"/>
  <c r="S111" i="4"/>
  <c r="R111" i="4"/>
  <c r="P111" i="4"/>
  <c r="O111" i="4"/>
  <c r="N111" i="4"/>
  <c r="M111" i="4"/>
  <c r="L111" i="4"/>
  <c r="J111" i="4"/>
  <c r="H111" i="4"/>
  <c r="F111" i="4"/>
  <c r="E111" i="4"/>
  <c r="D111" i="4"/>
  <c r="C111" i="4"/>
  <c r="A111" i="4"/>
  <c r="Q110" i="4"/>
  <c r="U110" i="4"/>
  <c r="I110" i="4"/>
  <c r="K110" i="4"/>
  <c r="V110" i="4"/>
  <c r="G110" i="4"/>
  <c r="T110" i="4"/>
  <c r="B110" i="4"/>
  <c r="S110" i="4"/>
  <c r="R110" i="4"/>
  <c r="P110" i="4"/>
  <c r="O110" i="4"/>
  <c r="N110" i="4"/>
  <c r="M110" i="4"/>
  <c r="L110" i="4"/>
  <c r="J110" i="4"/>
  <c r="H110" i="4"/>
  <c r="F110" i="4"/>
  <c r="E110" i="4"/>
  <c r="D110" i="4"/>
  <c r="C110" i="4"/>
  <c r="A110" i="4"/>
  <c r="Q109" i="4"/>
  <c r="U109" i="4"/>
  <c r="I109" i="4"/>
  <c r="K109" i="4"/>
  <c r="V109" i="4"/>
  <c r="G109" i="4"/>
  <c r="T109" i="4"/>
  <c r="B109" i="4"/>
  <c r="S109" i="4"/>
  <c r="R109" i="4"/>
  <c r="P109" i="4"/>
  <c r="O109" i="4"/>
  <c r="N109" i="4"/>
  <c r="M109" i="4"/>
  <c r="L109" i="4"/>
  <c r="J109" i="4"/>
  <c r="H109" i="4"/>
  <c r="F109" i="4"/>
  <c r="E109" i="4"/>
  <c r="D109" i="4"/>
  <c r="C109" i="4"/>
  <c r="A109" i="4"/>
  <c r="Q108" i="4"/>
  <c r="U108" i="4"/>
  <c r="I108" i="4"/>
  <c r="K108" i="4"/>
  <c r="V108" i="4"/>
  <c r="G108" i="4"/>
  <c r="T108" i="4"/>
  <c r="B108" i="4"/>
  <c r="S108" i="4"/>
  <c r="R108" i="4"/>
  <c r="P108" i="4"/>
  <c r="O108" i="4"/>
  <c r="N108" i="4"/>
  <c r="M108" i="4"/>
  <c r="L108" i="4"/>
  <c r="J108" i="4"/>
  <c r="H108" i="4"/>
  <c r="F108" i="4"/>
  <c r="E108" i="4"/>
  <c r="D108" i="4"/>
  <c r="C108" i="4"/>
  <c r="A108" i="4"/>
  <c r="Q107" i="4"/>
  <c r="U107" i="4"/>
  <c r="I107" i="4"/>
  <c r="K107" i="4"/>
  <c r="V107" i="4"/>
  <c r="G107" i="4"/>
  <c r="T107" i="4"/>
  <c r="B107" i="4"/>
  <c r="S107" i="4"/>
  <c r="R107" i="4"/>
  <c r="P107" i="4"/>
  <c r="O107" i="4"/>
  <c r="N107" i="4"/>
  <c r="M107" i="4"/>
  <c r="L107" i="4"/>
  <c r="J107" i="4"/>
  <c r="H107" i="4"/>
  <c r="F107" i="4"/>
  <c r="E107" i="4"/>
  <c r="D107" i="4"/>
  <c r="C107" i="4"/>
  <c r="A107" i="4"/>
  <c r="Q106" i="4"/>
  <c r="U106" i="4"/>
  <c r="I106" i="4"/>
  <c r="K106" i="4"/>
  <c r="V106" i="4"/>
  <c r="G106" i="4"/>
  <c r="T106" i="4"/>
  <c r="B106" i="4"/>
  <c r="S106" i="4"/>
  <c r="R106" i="4"/>
  <c r="P106" i="4"/>
  <c r="O106" i="4"/>
  <c r="N106" i="4"/>
  <c r="M106" i="4"/>
  <c r="L106" i="4"/>
  <c r="J106" i="4"/>
  <c r="H106" i="4"/>
  <c r="F106" i="4"/>
  <c r="E106" i="4"/>
  <c r="D106" i="4"/>
  <c r="C106" i="4"/>
  <c r="A106" i="4"/>
  <c r="Q105" i="4"/>
  <c r="U105" i="4"/>
  <c r="I105" i="4"/>
  <c r="K105" i="4"/>
  <c r="V105" i="4"/>
  <c r="G105" i="4"/>
  <c r="T105" i="4"/>
  <c r="B105" i="4"/>
  <c r="S105" i="4"/>
  <c r="R105" i="4"/>
  <c r="P105" i="4"/>
  <c r="O105" i="4"/>
  <c r="N105" i="4"/>
  <c r="M105" i="4"/>
  <c r="L105" i="4"/>
  <c r="J105" i="4"/>
  <c r="H105" i="4"/>
  <c r="F105" i="4"/>
  <c r="E105" i="4"/>
  <c r="D105" i="4"/>
  <c r="C105" i="4"/>
  <c r="A105" i="4"/>
  <c r="Q104" i="4"/>
  <c r="U104" i="4"/>
  <c r="I104" i="4"/>
  <c r="K104" i="4"/>
  <c r="V104" i="4"/>
  <c r="G104" i="4"/>
  <c r="T104" i="4"/>
  <c r="B104" i="4"/>
  <c r="S104" i="4"/>
  <c r="R104" i="4"/>
  <c r="P104" i="4"/>
  <c r="O104" i="4"/>
  <c r="N104" i="4"/>
  <c r="M104" i="4"/>
  <c r="L104" i="4"/>
  <c r="J104" i="4"/>
  <c r="H104" i="4"/>
  <c r="F104" i="4"/>
  <c r="E104" i="4"/>
  <c r="D104" i="4"/>
  <c r="C104" i="4"/>
  <c r="A104" i="4"/>
  <c r="Q103" i="4"/>
  <c r="U103" i="4"/>
  <c r="I103" i="4"/>
  <c r="K103" i="4"/>
  <c r="V103" i="4"/>
  <c r="G103" i="4"/>
  <c r="T103" i="4"/>
  <c r="B103" i="4"/>
  <c r="S103" i="4"/>
  <c r="R103" i="4"/>
  <c r="P103" i="4"/>
  <c r="O103" i="4"/>
  <c r="N103" i="4"/>
  <c r="M103" i="4"/>
  <c r="L103" i="4"/>
  <c r="J103" i="4"/>
  <c r="H103" i="4"/>
  <c r="F103" i="4"/>
  <c r="E103" i="4"/>
  <c r="D103" i="4"/>
  <c r="C103" i="4"/>
  <c r="A103" i="4"/>
  <c r="Q102" i="4"/>
  <c r="U102" i="4"/>
  <c r="I102" i="4"/>
  <c r="K102" i="4"/>
  <c r="V102" i="4"/>
  <c r="G102" i="4"/>
  <c r="T102" i="4"/>
  <c r="B102" i="4"/>
  <c r="S102" i="4"/>
  <c r="R102" i="4"/>
  <c r="P102" i="4"/>
  <c r="O102" i="4"/>
  <c r="N102" i="4"/>
  <c r="M102" i="4"/>
  <c r="L102" i="4"/>
  <c r="J102" i="4"/>
  <c r="H102" i="4"/>
  <c r="F102" i="4"/>
  <c r="E102" i="4"/>
  <c r="D102" i="4"/>
  <c r="C102" i="4"/>
  <c r="A102" i="4"/>
  <c r="Q101" i="4"/>
  <c r="U101" i="4"/>
  <c r="I101" i="4"/>
  <c r="K101" i="4"/>
  <c r="V101" i="4"/>
  <c r="G101" i="4"/>
  <c r="T101" i="4"/>
  <c r="B101" i="4"/>
  <c r="S101" i="4"/>
  <c r="R101" i="4"/>
  <c r="P101" i="4"/>
  <c r="O101" i="4"/>
  <c r="N101" i="4"/>
  <c r="M101" i="4"/>
  <c r="L101" i="4"/>
  <c r="J101" i="4"/>
  <c r="H101" i="4"/>
  <c r="F101" i="4"/>
  <c r="E101" i="4"/>
  <c r="D101" i="4"/>
  <c r="C101" i="4"/>
  <c r="A101" i="4"/>
  <c r="Q100" i="4"/>
  <c r="U100" i="4"/>
  <c r="I100" i="4"/>
  <c r="K100" i="4"/>
  <c r="V100" i="4"/>
  <c r="G100" i="4"/>
  <c r="T100" i="4"/>
  <c r="B100" i="4"/>
  <c r="S100" i="4"/>
  <c r="R100" i="4"/>
  <c r="P100" i="4"/>
  <c r="O100" i="4"/>
  <c r="N100" i="4"/>
  <c r="M100" i="4"/>
  <c r="L100" i="4"/>
  <c r="J100" i="4"/>
  <c r="H100" i="4"/>
  <c r="F100" i="4"/>
  <c r="E100" i="4"/>
  <c r="D100" i="4"/>
  <c r="C100" i="4"/>
  <c r="A100" i="4"/>
  <c r="Q99" i="4"/>
  <c r="U99" i="4"/>
  <c r="I99" i="4"/>
  <c r="K99" i="4"/>
  <c r="V99" i="4"/>
  <c r="G99" i="4"/>
  <c r="T99" i="4"/>
  <c r="B99" i="4"/>
  <c r="S99" i="4"/>
  <c r="R99" i="4"/>
  <c r="P99" i="4"/>
  <c r="O99" i="4"/>
  <c r="N99" i="4"/>
  <c r="M99" i="4"/>
  <c r="L99" i="4"/>
  <c r="J99" i="4"/>
  <c r="H99" i="4"/>
  <c r="F99" i="4"/>
  <c r="E99" i="4"/>
  <c r="D99" i="4"/>
  <c r="C99" i="4"/>
  <c r="A99" i="4"/>
  <c r="Q98" i="4"/>
  <c r="U98" i="4"/>
  <c r="I98" i="4"/>
  <c r="K98" i="4"/>
  <c r="V98" i="4"/>
  <c r="G98" i="4"/>
  <c r="T98" i="4"/>
  <c r="B98" i="4"/>
  <c r="S98" i="4"/>
  <c r="R98" i="4"/>
  <c r="P98" i="4"/>
  <c r="O98" i="4"/>
  <c r="N98" i="4"/>
  <c r="M98" i="4"/>
  <c r="L98" i="4"/>
  <c r="J98" i="4"/>
  <c r="H98" i="4"/>
  <c r="F98" i="4"/>
  <c r="E98" i="4"/>
  <c r="D98" i="4"/>
  <c r="C98" i="4"/>
  <c r="A98" i="4"/>
  <c r="Q97" i="4"/>
  <c r="U97" i="4"/>
  <c r="I97" i="4"/>
  <c r="K97" i="4"/>
  <c r="V97" i="4"/>
  <c r="G97" i="4"/>
  <c r="T97" i="4"/>
  <c r="B97" i="4"/>
  <c r="S97" i="4"/>
  <c r="R97" i="4"/>
  <c r="P97" i="4"/>
  <c r="O97" i="4"/>
  <c r="N97" i="4"/>
  <c r="M97" i="4"/>
  <c r="L97" i="4"/>
  <c r="J97" i="4"/>
  <c r="H97" i="4"/>
  <c r="F97" i="4"/>
  <c r="E97" i="4"/>
  <c r="D97" i="4"/>
  <c r="C97" i="4"/>
  <c r="A97" i="4"/>
  <c r="Q96" i="4"/>
  <c r="U96" i="4"/>
  <c r="I96" i="4"/>
  <c r="K96" i="4"/>
  <c r="V96" i="4"/>
  <c r="G96" i="4"/>
  <c r="T96" i="4"/>
  <c r="B96" i="4"/>
  <c r="S96" i="4"/>
  <c r="R96" i="4"/>
  <c r="P96" i="4"/>
  <c r="O96" i="4"/>
  <c r="N96" i="4"/>
  <c r="M96" i="4"/>
  <c r="L96" i="4"/>
  <c r="J96" i="4"/>
  <c r="H96" i="4"/>
  <c r="F96" i="4"/>
  <c r="E96" i="4"/>
  <c r="D96" i="4"/>
  <c r="C96" i="4"/>
  <c r="A96" i="4"/>
  <c r="Q95" i="4"/>
  <c r="U95" i="4"/>
  <c r="I95" i="4"/>
  <c r="K95" i="4"/>
  <c r="V95" i="4"/>
  <c r="G95" i="4"/>
  <c r="T95" i="4"/>
  <c r="B95" i="4"/>
  <c r="S95" i="4"/>
  <c r="R95" i="4"/>
  <c r="P95" i="4"/>
  <c r="O95" i="4"/>
  <c r="N95" i="4"/>
  <c r="M95" i="4"/>
  <c r="L95" i="4"/>
  <c r="J95" i="4"/>
  <c r="H95" i="4"/>
  <c r="F95" i="4"/>
  <c r="E95" i="4"/>
  <c r="D95" i="4"/>
  <c r="C95" i="4"/>
  <c r="A95" i="4"/>
  <c r="Q94" i="4"/>
  <c r="U94" i="4"/>
  <c r="I94" i="4"/>
  <c r="K94" i="4"/>
  <c r="V94" i="4"/>
  <c r="G94" i="4"/>
  <c r="T94" i="4"/>
  <c r="B94" i="4"/>
  <c r="S94" i="4"/>
  <c r="R94" i="4"/>
  <c r="P94" i="4"/>
  <c r="O94" i="4"/>
  <c r="N94" i="4"/>
  <c r="M94" i="4"/>
  <c r="L94" i="4"/>
  <c r="J94" i="4"/>
  <c r="H94" i="4"/>
  <c r="F94" i="4"/>
  <c r="E94" i="4"/>
  <c r="D94" i="4"/>
  <c r="C94" i="4"/>
  <c r="A94" i="4"/>
  <c r="Q93" i="4"/>
  <c r="U93" i="4"/>
  <c r="I93" i="4"/>
  <c r="K93" i="4"/>
  <c r="V93" i="4"/>
  <c r="G93" i="4"/>
  <c r="T93" i="4"/>
  <c r="B93" i="4"/>
  <c r="S93" i="4"/>
  <c r="R93" i="4"/>
  <c r="P93" i="4"/>
  <c r="O93" i="4"/>
  <c r="N93" i="4"/>
  <c r="M93" i="4"/>
  <c r="L93" i="4"/>
  <c r="J93" i="4"/>
  <c r="H93" i="4"/>
  <c r="F93" i="4"/>
  <c r="E93" i="4"/>
  <c r="D93" i="4"/>
  <c r="C93" i="4"/>
  <c r="A93" i="4"/>
  <c r="Q92" i="4"/>
  <c r="U92" i="4"/>
  <c r="I92" i="4"/>
  <c r="K92" i="4"/>
  <c r="V92" i="4"/>
  <c r="G92" i="4"/>
  <c r="T92" i="4"/>
  <c r="B92" i="4"/>
  <c r="S92" i="4"/>
  <c r="R92" i="4"/>
  <c r="P92" i="4"/>
  <c r="O92" i="4"/>
  <c r="N92" i="4"/>
  <c r="M92" i="4"/>
  <c r="L92" i="4"/>
  <c r="J92" i="4"/>
  <c r="H92" i="4"/>
  <c r="F92" i="4"/>
  <c r="E92" i="4"/>
  <c r="D92" i="4"/>
  <c r="C92" i="4"/>
  <c r="A92" i="4"/>
  <c r="Q91" i="4"/>
  <c r="U91" i="4"/>
  <c r="I91" i="4"/>
  <c r="K91" i="4"/>
  <c r="V91" i="4"/>
  <c r="G91" i="4"/>
  <c r="T91" i="4"/>
  <c r="B91" i="4"/>
  <c r="S91" i="4"/>
  <c r="R91" i="4"/>
  <c r="P91" i="4"/>
  <c r="O91" i="4"/>
  <c r="N91" i="4"/>
  <c r="M91" i="4"/>
  <c r="L91" i="4"/>
  <c r="J91" i="4"/>
  <c r="H91" i="4"/>
  <c r="F91" i="4"/>
  <c r="E91" i="4"/>
  <c r="D91" i="4"/>
  <c r="C91" i="4"/>
  <c r="A91" i="4"/>
  <c r="Q90" i="4"/>
  <c r="U90" i="4"/>
  <c r="I90" i="4"/>
  <c r="K90" i="4"/>
  <c r="V90" i="4"/>
  <c r="G90" i="4"/>
  <c r="T90" i="4"/>
  <c r="B90" i="4"/>
  <c r="S90" i="4"/>
  <c r="R90" i="4"/>
  <c r="P90" i="4"/>
  <c r="O90" i="4"/>
  <c r="N90" i="4"/>
  <c r="M90" i="4"/>
  <c r="L90" i="4"/>
  <c r="J90" i="4"/>
  <c r="H90" i="4"/>
  <c r="F90" i="4"/>
  <c r="E90" i="4"/>
  <c r="D90" i="4"/>
  <c r="C90" i="4"/>
  <c r="A90" i="4"/>
  <c r="Q89" i="4"/>
  <c r="U89" i="4"/>
  <c r="I89" i="4"/>
  <c r="K89" i="4"/>
  <c r="V89" i="4"/>
  <c r="G89" i="4"/>
  <c r="T89" i="4"/>
  <c r="B89" i="4"/>
  <c r="S89" i="4"/>
  <c r="R89" i="4"/>
  <c r="P89" i="4"/>
  <c r="O89" i="4"/>
  <c r="N89" i="4"/>
  <c r="M89" i="4"/>
  <c r="L89" i="4"/>
  <c r="J89" i="4"/>
  <c r="H89" i="4"/>
  <c r="F89" i="4"/>
  <c r="E89" i="4"/>
  <c r="D89" i="4"/>
  <c r="C89" i="4"/>
  <c r="A89" i="4"/>
  <c r="Q88" i="4"/>
  <c r="U88" i="4"/>
  <c r="I88" i="4"/>
  <c r="K88" i="4"/>
  <c r="V88" i="4"/>
  <c r="G88" i="4"/>
  <c r="T88" i="4"/>
  <c r="B88" i="4"/>
  <c r="S88" i="4"/>
  <c r="R88" i="4"/>
  <c r="P88" i="4"/>
  <c r="O88" i="4"/>
  <c r="N88" i="4"/>
  <c r="M88" i="4"/>
  <c r="L88" i="4"/>
  <c r="J88" i="4"/>
  <c r="H88" i="4"/>
  <c r="F88" i="4"/>
  <c r="E88" i="4"/>
  <c r="D88" i="4"/>
  <c r="C88" i="4"/>
  <c r="A88" i="4"/>
  <c r="Q87" i="4"/>
  <c r="U87" i="4"/>
  <c r="I87" i="4"/>
  <c r="K87" i="4"/>
  <c r="V87" i="4"/>
  <c r="G87" i="4"/>
  <c r="T87" i="4"/>
  <c r="B87" i="4"/>
  <c r="S87" i="4"/>
  <c r="R87" i="4"/>
  <c r="P87" i="4"/>
  <c r="O87" i="4"/>
  <c r="N87" i="4"/>
  <c r="M87" i="4"/>
  <c r="L87" i="4"/>
  <c r="J87" i="4"/>
  <c r="H87" i="4"/>
  <c r="F87" i="4"/>
  <c r="E87" i="4"/>
  <c r="D87" i="4"/>
  <c r="C87" i="4"/>
  <c r="A87" i="4"/>
  <c r="Q86" i="4"/>
  <c r="U86" i="4"/>
  <c r="I86" i="4"/>
  <c r="K86" i="4"/>
  <c r="V86" i="4"/>
  <c r="G86" i="4"/>
  <c r="T86" i="4"/>
  <c r="B86" i="4"/>
  <c r="S86" i="4"/>
  <c r="R86" i="4"/>
  <c r="P86" i="4"/>
  <c r="O86" i="4"/>
  <c r="N86" i="4"/>
  <c r="M86" i="4"/>
  <c r="L86" i="4"/>
  <c r="J86" i="4"/>
  <c r="H86" i="4"/>
  <c r="F86" i="4"/>
  <c r="E86" i="4"/>
  <c r="D86" i="4"/>
  <c r="C86" i="4"/>
  <c r="A86" i="4"/>
  <c r="Q85" i="4"/>
  <c r="U85" i="4"/>
  <c r="I85" i="4"/>
  <c r="K85" i="4"/>
  <c r="V85" i="4"/>
  <c r="G85" i="4"/>
  <c r="T85" i="4"/>
  <c r="B85" i="4"/>
  <c r="S85" i="4"/>
  <c r="R85" i="4"/>
  <c r="P85" i="4"/>
  <c r="O85" i="4"/>
  <c r="N85" i="4"/>
  <c r="M85" i="4"/>
  <c r="L85" i="4"/>
  <c r="J85" i="4"/>
  <c r="H85" i="4"/>
  <c r="F85" i="4"/>
  <c r="E85" i="4"/>
  <c r="D85" i="4"/>
  <c r="C85" i="4"/>
  <c r="A85" i="4"/>
  <c r="Q84" i="4"/>
  <c r="U84" i="4"/>
  <c r="I84" i="4"/>
  <c r="K84" i="4"/>
  <c r="V84" i="4"/>
  <c r="G84" i="4"/>
  <c r="T84" i="4"/>
  <c r="B84" i="4"/>
  <c r="S84" i="4"/>
  <c r="R84" i="4"/>
  <c r="P84" i="4"/>
  <c r="O84" i="4"/>
  <c r="N84" i="4"/>
  <c r="M84" i="4"/>
  <c r="L84" i="4"/>
  <c r="J84" i="4"/>
  <c r="H84" i="4"/>
  <c r="F84" i="4"/>
  <c r="E84" i="4"/>
  <c r="D84" i="4"/>
  <c r="C84" i="4"/>
  <c r="A84" i="4"/>
  <c r="Q83" i="4"/>
  <c r="U83" i="4"/>
  <c r="I83" i="4"/>
  <c r="K83" i="4"/>
  <c r="V83" i="4"/>
  <c r="G83" i="4"/>
  <c r="T83" i="4"/>
  <c r="B83" i="4"/>
  <c r="S83" i="4"/>
  <c r="R83" i="4"/>
  <c r="P83" i="4"/>
  <c r="O83" i="4"/>
  <c r="N83" i="4"/>
  <c r="M83" i="4"/>
  <c r="L83" i="4"/>
  <c r="J83" i="4"/>
  <c r="H83" i="4"/>
  <c r="F83" i="4"/>
  <c r="E83" i="4"/>
  <c r="D83" i="4"/>
  <c r="C83" i="4"/>
  <c r="A83" i="4"/>
  <c r="Q82" i="4"/>
  <c r="U82" i="4"/>
  <c r="I82" i="4"/>
  <c r="K82" i="4"/>
  <c r="V82" i="4"/>
  <c r="G82" i="4"/>
  <c r="T82" i="4"/>
  <c r="B82" i="4"/>
  <c r="S82" i="4"/>
  <c r="R82" i="4"/>
  <c r="P82" i="4"/>
  <c r="O82" i="4"/>
  <c r="N82" i="4"/>
  <c r="M82" i="4"/>
  <c r="L82" i="4"/>
  <c r="J82" i="4"/>
  <c r="H82" i="4"/>
  <c r="F82" i="4"/>
  <c r="E82" i="4"/>
  <c r="D82" i="4"/>
  <c r="C82" i="4"/>
  <c r="A82" i="4"/>
  <c r="Q81" i="4"/>
  <c r="U81" i="4"/>
  <c r="I81" i="4"/>
  <c r="K81" i="4"/>
  <c r="V81" i="4"/>
  <c r="G81" i="4"/>
  <c r="T81" i="4"/>
  <c r="B81" i="4"/>
  <c r="S81" i="4"/>
  <c r="R81" i="4"/>
  <c r="P81" i="4"/>
  <c r="O81" i="4"/>
  <c r="N81" i="4"/>
  <c r="M81" i="4"/>
  <c r="L81" i="4"/>
  <c r="J81" i="4"/>
  <c r="H81" i="4"/>
  <c r="F81" i="4"/>
  <c r="E81" i="4"/>
  <c r="D81" i="4"/>
  <c r="C81" i="4"/>
  <c r="A81" i="4"/>
  <c r="Q80" i="4"/>
  <c r="U80" i="4"/>
  <c r="I80" i="4"/>
  <c r="K80" i="4"/>
  <c r="V80" i="4"/>
  <c r="G80" i="4"/>
  <c r="T80" i="4"/>
  <c r="B80" i="4"/>
  <c r="S80" i="4"/>
  <c r="R80" i="4"/>
  <c r="P80" i="4"/>
  <c r="O80" i="4"/>
  <c r="N80" i="4"/>
  <c r="M80" i="4"/>
  <c r="L80" i="4"/>
  <c r="J80" i="4"/>
  <c r="H80" i="4"/>
  <c r="F80" i="4"/>
  <c r="E80" i="4"/>
  <c r="D80" i="4"/>
  <c r="C80" i="4"/>
  <c r="A80" i="4"/>
  <c r="Q79" i="4"/>
  <c r="U79" i="4"/>
  <c r="I79" i="4"/>
  <c r="K79" i="4"/>
  <c r="V79" i="4"/>
  <c r="G79" i="4"/>
  <c r="T79" i="4"/>
  <c r="B79" i="4"/>
  <c r="S79" i="4"/>
  <c r="R79" i="4"/>
  <c r="P79" i="4"/>
  <c r="O79" i="4"/>
  <c r="N79" i="4"/>
  <c r="M79" i="4"/>
  <c r="L79" i="4"/>
  <c r="J79" i="4"/>
  <c r="H79" i="4"/>
  <c r="F79" i="4"/>
  <c r="E79" i="4"/>
  <c r="D79" i="4"/>
  <c r="C79" i="4"/>
  <c r="A79" i="4"/>
  <c r="Q78" i="4"/>
  <c r="U78" i="4"/>
  <c r="I78" i="4"/>
  <c r="K78" i="4"/>
  <c r="V78" i="4"/>
  <c r="G78" i="4"/>
  <c r="T78" i="4"/>
  <c r="B78" i="4"/>
  <c r="S78" i="4"/>
  <c r="R78" i="4"/>
  <c r="P78" i="4"/>
  <c r="O78" i="4"/>
  <c r="N78" i="4"/>
  <c r="M78" i="4"/>
  <c r="L78" i="4"/>
  <c r="J78" i="4"/>
  <c r="H78" i="4"/>
  <c r="F78" i="4"/>
  <c r="E78" i="4"/>
  <c r="D78" i="4"/>
  <c r="C78" i="4"/>
  <c r="A78" i="4"/>
  <c r="Q77" i="4"/>
  <c r="U77" i="4"/>
  <c r="I77" i="4"/>
  <c r="K77" i="4"/>
  <c r="V77" i="4"/>
  <c r="G77" i="4"/>
  <c r="T77" i="4"/>
  <c r="B77" i="4"/>
  <c r="S77" i="4"/>
  <c r="R77" i="4"/>
  <c r="P77" i="4"/>
  <c r="O77" i="4"/>
  <c r="N77" i="4"/>
  <c r="M77" i="4"/>
  <c r="L77" i="4"/>
  <c r="J77" i="4"/>
  <c r="H77" i="4"/>
  <c r="F77" i="4"/>
  <c r="E77" i="4"/>
  <c r="D77" i="4"/>
  <c r="C77" i="4"/>
  <c r="A77" i="4"/>
  <c r="Q76" i="4"/>
  <c r="U76" i="4"/>
  <c r="I76" i="4"/>
  <c r="K76" i="4"/>
  <c r="V76" i="4"/>
  <c r="G76" i="4"/>
  <c r="T76" i="4"/>
  <c r="B76" i="4"/>
  <c r="S76" i="4"/>
  <c r="R76" i="4"/>
  <c r="P76" i="4"/>
  <c r="O76" i="4"/>
  <c r="N76" i="4"/>
  <c r="M76" i="4"/>
  <c r="L76" i="4"/>
  <c r="J76" i="4"/>
  <c r="H76" i="4"/>
  <c r="F76" i="4"/>
  <c r="E76" i="4"/>
  <c r="D76" i="4"/>
  <c r="C76" i="4"/>
  <c r="A76" i="4"/>
  <c r="Q75" i="4"/>
  <c r="U75" i="4"/>
  <c r="I75" i="4"/>
  <c r="K75" i="4"/>
  <c r="V75" i="4"/>
  <c r="G75" i="4"/>
  <c r="T75" i="4"/>
  <c r="B75" i="4"/>
  <c r="S75" i="4"/>
  <c r="R75" i="4"/>
  <c r="P75" i="4"/>
  <c r="O75" i="4"/>
  <c r="N75" i="4"/>
  <c r="M75" i="4"/>
  <c r="L75" i="4"/>
  <c r="J75" i="4"/>
  <c r="H75" i="4"/>
  <c r="F75" i="4"/>
  <c r="E75" i="4"/>
  <c r="D75" i="4"/>
  <c r="C75" i="4"/>
  <c r="A75" i="4"/>
  <c r="Q74" i="4"/>
  <c r="U74" i="4"/>
  <c r="I74" i="4"/>
  <c r="K74" i="4"/>
  <c r="V74" i="4"/>
  <c r="G74" i="4"/>
  <c r="T74" i="4"/>
  <c r="B74" i="4"/>
  <c r="S74" i="4"/>
  <c r="R74" i="4"/>
  <c r="P74" i="4"/>
  <c r="O74" i="4"/>
  <c r="N74" i="4"/>
  <c r="M74" i="4"/>
  <c r="L74" i="4"/>
  <c r="J74" i="4"/>
  <c r="H74" i="4"/>
  <c r="F74" i="4"/>
  <c r="E74" i="4"/>
  <c r="D74" i="4"/>
  <c r="C74" i="4"/>
  <c r="A74" i="4"/>
  <c r="Q73" i="4"/>
  <c r="U73" i="4"/>
  <c r="I73" i="4"/>
  <c r="K73" i="4"/>
  <c r="V73" i="4"/>
  <c r="G73" i="4"/>
  <c r="T73" i="4"/>
  <c r="B73" i="4"/>
  <c r="S73" i="4"/>
  <c r="R73" i="4"/>
  <c r="P73" i="4"/>
  <c r="O73" i="4"/>
  <c r="N73" i="4"/>
  <c r="M73" i="4"/>
  <c r="L73" i="4"/>
  <c r="J73" i="4"/>
  <c r="H73" i="4"/>
  <c r="F73" i="4"/>
  <c r="E73" i="4"/>
  <c r="D73" i="4"/>
  <c r="C73" i="4"/>
  <c r="A73" i="4"/>
  <c r="Q72" i="4"/>
  <c r="U72" i="4"/>
  <c r="I72" i="4"/>
  <c r="K72" i="4"/>
  <c r="V72" i="4"/>
  <c r="G72" i="4"/>
  <c r="T72" i="4"/>
  <c r="B72" i="4"/>
  <c r="S72" i="4"/>
  <c r="R72" i="4"/>
  <c r="P72" i="4"/>
  <c r="O72" i="4"/>
  <c r="N72" i="4"/>
  <c r="M72" i="4"/>
  <c r="L72" i="4"/>
  <c r="J72" i="4"/>
  <c r="H72" i="4"/>
  <c r="F72" i="4"/>
  <c r="E72" i="4"/>
  <c r="D72" i="4"/>
  <c r="C72" i="4"/>
  <c r="A72" i="4"/>
  <c r="Q71" i="4"/>
  <c r="U71" i="4"/>
  <c r="I71" i="4"/>
  <c r="K71" i="4"/>
  <c r="V71" i="4"/>
  <c r="G71" i="4"/>
  <c r="T71" i="4"/>
  <c r="B71" i="4"/>
  <c r="S71" i="4"/>
  <c r="R71" i="4"/>
  <c r="P71" i="4"/>
  <c r="O71" i="4"/>
  <c r="N71" i="4"/>
  <c r="M71" i="4"/>
  <c r="L71" i="4"/>
  <c r="J71" i="4"/>
  <c r="H71" i="4"/>
  <c r="F71" i="4"/>
  <c r="E71" i="4"/>
  <c r="D71" i="4"/>
  <c r="C71" i="4"/>
  <c r="A71" i="4"/>
  <c r="Q70" i="4"/>
  <c r="U70" i="4"/>
  <c r="I70" i="4"/>
  <c r="K70" i="4"/>
  <c r="V70" i="4"/>
  <c r="G70" i="4"/>
  <c r="T70" i="4"/>
  <c r="B70" i="4"/>
  <c r="S70" i="4"/>
  <c r="R70" i="4"/>
  <c r="P70" i="4"/>
  <c r="O70" i="4"/>
  <c r="N70" i="4"/>
  <c r="M70" i="4"/>
  <c r="L70" i="4"/>
  <c r="J70" i="4"/>
  <c r="H70" i="4"/>
  <c r="F70" i="4"/>
  <c r="E70" i="4"/>
  <c r="D70" i="4"/>
  <c r="C70" i="4"/>
  <c r="A70" i="4"/>
  <c r="Q69" i="4"/>
  <c r="U69" i="4"/>
  <c r="I69" i="4"/>
  <c r="K69" i="4"/>
  <c r="V69" i="4"/>
  <c r="G69" i="4"/>
  <c r="T69" i="4"/>
  <c r="B69" i="4"/>
  <c r="S69" i="4"/>
  <c r="R69" i="4"/>
  <c r="P69" i="4"/>
  <c r="O69" i="4"/>
  <c r="N69" i="4"/>
  <c r="M69" i="4"/>
  <c r="L69" i="4"/>
  <c r="J69" i="4"/>
  <c r="H69" i="4"/>
  <c r="F69" i="4"/>
  <c r="E69" i="4"/>
  <c r="D69" i="4"/>
  <c r="C69" i="4"/>
  <c r="A69" i="4"/>
  <c r="Q68" i="4"/>
  <c r="U68" i="4"/>
  <c r="I68" i="4"/>
  <c r="K68" i="4"/>
  <c r="V68" i="4"/>
  <c r="G68" i="4"/>
  <c r="T68" i="4"/>
  <c r="B68" i="4"/>
  <c r="S68" i="4"/>
  <c r="R68" i="4"/>
  <c r="P68" i="4"/>
  <c r="O68" i="4"/>
  <c r="N68" i="4"/>
  <c r="M68" i="4"/>
  <c r="L68" i="4"/>
  <c r="J68" i="4"/>
  <c r="H68" i="4"/>
  <c r="F68" i="4"/>
  <c r="E68" i="4"/>
  <c r="D68" i="4"/>
  <c r="C68" i="4"/>
  <c r="A68" i="4"/>
  <c r="Q67" i="4"/>
  <c r="U67" i="4"/>
  <c r="I67" i="4"/>
  <c r="K67" i="4"/>
  <c r="V67" i="4"/>
  <c r="G67" i="4"/>
  <c r="T67" i="4"/>
  <c r="B67" i="4"/>
  <c r="S67" i="4"/>
  <c r="R67" i="4"/>
  <c r="P67" i="4"/>
  <c r="O67" i="4"/>
  <c r="N67" i="4"/>
  <c r="M67" i="4"/>
  <c r="L67" i="4"/>
  <c r="J67" i="4"/>
  <c r="H67" i="4"/>
  <c r="F67" i="4"/>
  <c r="E67" i="4"/>
  <c r="D67" i="4"/>
  <c r="C67" i="4"/>
  <c r="A67" i="4"/>
  <c r="Q66" i="4"/>
  <c r="U66" i="4"/>
  <c r="I66" i="4"/>
  <c r="K66" i="4"/>
  <c r="V66" i="4"/>
  <c r="G66" i="4"/>
  <c r="T66" i="4"/>
  <c r="B66" i="4"/>
  <c r="S66" i="4"/>
  <c r="R66" i="4"/>
  <c r="P66" i="4"/>
  <c r="O66" i="4"/>
  <c r="N66" i="4"/>
  <c r="M66" i="4"/>
  <c r="L66" i="4"/>
  <c r="J66" i="4"/>
  <c r="H66" i="4"/>
  <c r="F66" i="4"/>
  <c r="E66" i="4"/>
  <c r="D66" i="4"/>
  <c r="C66" i="4"/>
  <c r="A66" i="4"/>
  <c r="Q65" i="4"/>
  <c r="U65" i="4"/>
  <c r="I65" i="4"/>
  <c r="K65" i="4"/>
  <c r="V65" i="4"/>
  <c r="G65" i="4"/>
  <c r="T65" i="4"/>
  <c r="B65" i="4"/>
  <c r="S65" i="4"/>
  <c r="R65" i="4"/>
  <c r="P65" i="4"/>
  <c r="O65" i="4"/>
  <c r="N65" i="4"/>
  <c r="M65" i="4"/>
  <c r="L65" i="4"/>
  <c r="J65" i="4"/>
  <c r="H65" i="4"/>
  <c r="F65" i="4"/>
  <c r="E65" i="4"/>
  <c r="D65" i="4"/>
  <c r="C65" i="4"/>
  <c r="A65" i="4"/>
  <c r="Q64" i="4"/>
  <c r="U64" i="4"/>
  <c r="I64" i="4"/>
  <c r="K64" i="4"/>
  <c r="V64" i="4"/>
  <c r="G64" i="4"/>
  <c r="T64" i="4"/>
  <c r="B64" i="4"/>
  <c r="S64" i="4"/>
  <c r="R64" i="4"/>
  <c r="P64" i="4"/>
  <c r="O64" i="4"/>
  <c r="N64" i="4"/>
  <c r="M64" i="4"/>
  <c r="L64" i="4"/>
  <c r="J64" i="4"/>
  <c r="H64" i="4"/>
  <c r="F64" i="4"/>
  <c r="E64" i="4"/>
  <c r="D64" i="4"/>
  <c r="C64" i="4"/>
  <c r="A64" i="4"/>
  <c r="Q63" i="4"/>
  <c r="U63" i="4"/>
  <c r="I63" i="4"/>
  <c r="K63" i="4"/>
  <c r="V63" i="4"/>
  <c r="G63" i="4"/>
  <c r="T63" i="4"/>
  <c r="B63" i="4"/>
  <c r="S63" i="4"/>
  <c r="R63" i="4"/>
  <c r="P63" i="4"/>
  <c r="O63" i="4"/>
  <c r="N63" i="4"/>
  <c r="M63" i="4"/>
  <c r="L63" i="4"/>
  <c r="J63" i="4"/>
  <c r="H63" i="4"/>
  <c r="F63" i="4"/>
  <c r="E63" i="4"/>
  <c r="D63" i="4"/>
  <c r="C63" i="4"/>
  <c r="A63" i="4"/>
  <c r="Q62" i="4"/>
  <c r="U62" i="4"/>
  <c r="I62" i="4"/>
  <c r="K62" i="4"/>
  <c r="V62" i="4"/>
  <c r="G62" i="4"/>
  <c r="T62" i="4"/>
  <c r="B62" i="4"/>
  <c r="S62" i="4"/>
  <c r="R62" i="4"/>
  <c r="P62" i="4"/>
  <c r="O62" i="4"/>
  <c r="N62" i="4"/>
  <c r="M62" i="4"/>
  <c r="L62" i="4"/>
  <c r="J62" i="4"/>
  <c r="H62" i="4"/>
  <c r="F62" i="4"/>
  <c r="E62" i="4"/>
  <c r="D62" i="4"/>
  <c r="C62" i="4"/>
  <c r="A62" i="4"/>
  <c r="Q61" i="4"/>
  <c r="U61" i="4"/>
  <c r="I61" i="4"/>
  <c r="K61" i="4"/>
  <c r="V61" i="4"/>
  <c r="G61" i="4"/>
  <c r="T61" i="4"/>
  <c r="B61" i="4"/>
  <c r="S61" i="4"/>
  <c r="R61" i="4"/>
  <c r="P61" i="4"/>
  <c r="O61" i="4"/>
  <c r="N61" i="4"/>
  <c r="M61" i="4"/>
  <c r="L61" i="4"/>
  <c r="J61" i="4"/>
  <c r="H61" i="4"/>
  <c r="F61" i="4"/>
  <c r="E61" i="4"/>
  <c r="D61" i="4"/>
  <c r="C61" i="4"/>
  <c r="A61" i="4"/>
  <c r="Q60" i="4"/>
  <c r="U60" i="4"/>
  <c r="I60" i="4"/>
  <c r="K60" i="4"/>
  <c r="V60" i="4"/>
  <c r="G60" i="4"/>
  <c r="T60" i="4"/>
  <c r="B60" i="4"/>
  <c r="S60" i="4"/>
  <c r="R60" i="4"/>
  <c r="P60" i="4"/>
  <c r="O60" i="4"/>
  <c r="N60" i="4"/>
  <c r="M60" i="4"/>
  <c r="L60" i="4"/>
  <c r="J60" i="4"/>
  <c r="H60" i="4"/>
  <c r="F60" i="4"/>
  <c r="E60" i="4"/>
  <c r="D60" i="4"/>
  <c r="C60" i="4"/>
  <c r="A60" i="4"/>
  <c r="Q59" i="4"/>
  <c r="U59" i="4"/>
  <c r="I59" i="4"/>
  <c r="K59" i="4"/>
  <c r="V59" i="4"/>
  <c r="G59" i="4"/>
  <c r="T59" i="4"/>
  <c r="B59" i="4"/>
  <c r="S59" i="4"/>
  <c r="R59" i="4"/>
  <c r="P59" i="4"/>
  <c r="O59" i="4"/>
  <c r="N59" i="4"/>
  <c r="M59" i="4"/>
  <c r="L59" i="4"/>
  <c r="J59" i="4"/>
  <c r="H59" i="4"/>
  <c r="F59" i="4"/>
  <c r="E59" i="4"/>
  <c r="D59" i="4"/>
  <c r="C59" i="4"/>
  <c r="A59" i="4"/>
  <c r="Q58" i="4"/>
  <c r="U58" i="4"/>
  <c r="I58" i="4"/>
  <c r="K58" i="4"/>
  <c r="V58" i="4"/>
  <c r="G58" i="4"/>
  <c r="T58" i="4"/>
  <c r="B58" i="4"/>
  <c r="S58" i="4"/>
  <c r="R58" i="4"/>
  <c r="P58" i="4"/>
  <c r="O58" i="4"/>
  <c r="N58" i="4"/>
  <c r="M58" i="4"/>
  <c r="L58" i="4"/>
  <c r="J58" i="4"/>
  <c r="H58" i="4"/>
  <c r="F58" i="4"/>
  <c r="E58" i="4"/>
  <c r="D58" i="4"/>
  <c r="C58" i="4"/>
  <c r="A58" i="4"/>
  <c r="Q57" i="4"/>
  <c r="U57" i="4"/>
  <c r="I57" i="4"/>
  <c r="K57" i="4"/>
  <c r="V57" i="4"/>
  <c r="G57" i="4"/>
  <c r="T57" i="4"/>
  <c r="B57" i="4"/>
  <c r="S57" i="4"/>
  <c r="R57" i="4"/>
  <c r="P57" i="4"/>
  <c r="O57" i="4"/>
  <c r="N57" i="4"/>
  <c r="M57" i="4"/>
  <c r="L57" i="4"/>
  <c r="J57" i="4"/>
  <c r="H57" i="4"/>
  <c r="F57" i="4"/>
  <c r="E57" i="4"/>
  <c r="D57" i="4"/>
  <c r="C57" i="4"/>
  <c r="A57" i="4"/>
  <c r="Q56" i="4"/>
  <c r="U56" i="4"/>
  <c r="I56" i="4"/>
  <c r="K56" i="4"/>
  <c r="V56" i="4"/>
  <c r="G56" i="4"/>
  <c r="T56" i="4"/>
  <c r="B56" i="4"/>
  <c r="S56" i="4"/>
  <c r="R56" i="4"/>
  <c r="P56" i="4"/>
  <c r="O56" i="4"/>
  <c r="N56" i="4"/>
  <c r="M56" i="4"/>
  <c r="L56" i="4"/>
  <c r="J56" i="4"/>
  <c r="H56" i="4"/>
  <c r="F56" i="4"/>
  <c r="E56" i="4"/>
  <c r="D56" i="4"/>
  <c r="C56" i="4"/>
  <c r="A56" i="4"/>
  <c r="Q55" i="4"/>
  <c r="U55" i="4"/>
  <c r="I55" i="4"/>
  <c r="K55" i="4"/>
  <c r="V55" i="4"/>
  <c r="G55" i="4"/>
  <c r="T55" i="4"/>
  <c r="B55" i="4"/>
  <c r="S55" i="4"/>
  <c r="R55" i="4"/>
  <c r="P55" i="4"/>
  <c r="O55" i="4"/>
  <c r="N55" i="4"/>
  <c r="M55" i="4"/>
  <c r="L55" i="4"/>
  <c r="J55" i="4"/>
  <c r="H55" i="4"/>
  <c r="F55" i="4"/>
  <c r="E55" i="4"/>
  <c r="D55" i="4"/>
  <c r="C55" i="4"/>
  <c r="A55" i="4"/>
  <c r="Q54" i="4"/>
  <c r="U54" i="4"/>
  <c r="I54" i="4"/>
  <c r="K54" i="4"/>
  <c r="V54" i="4"/>
  <c r="G54" i="4"/>
  <c r="T54" i="4"/>
  <c r="B54" i="4"/>
  <c r="S54" i="4"/>
  <c r="R54" i="4"/>
  <c r="P54" i="4"/>
  <c r="O54" i="4"/>
  <c r="N54" i="4"/>
  <c r="M54" i="4"/>
  <c r="L54" i="4"/>
  <c r="J54" i="4"/>
  <c r="H54" i="4"/>
  <c r="F54" i="4"/>
  <c r="E54" i="4"/>
  <c r="D54" i="4"/>
  <c r="C54" i="4"/>
  <c r="A54" i="4"/>
  <c r="Q53" i="4"/>
  <c r="U53" i="4"/>
  <c r="I53" i="4"/>
  <c r="K53" i="4"/>
  <c r="V53" i="4"/>
  <c r="G53" i="4"/>
  <c r="T53" i="4"/>
  <c r="B53" i="4"/>
  <c r="S53" i="4"/>
  <c r="R53" i="4"/>
  <c r="P53" i="4"/>
  <c r="O53" i="4"/>
  <c r="N53" i="4"/>
  <c r="M53" i="4"/>
  <c r="L53" i="4"/>
  <c r="J53" i="4"/>
  <c r="H53" i="4"/>
  <c r="F53" i="4"/>
  <c r="E53" i="4"/>
  <c r="D53" i="4"/>
  <c r="C53" i="4"/>
  <c r="A53" i="4"/>
  <c r="Q52" i="4"/>
  <c r="U52" i="4"/>
  <c r="I52" i="4"/>
  <c r="K52" i="4"/>
  <c r="V52" i="4"/>
  <c r="G52" i="4"/>
  <c r="T52" i="4"/>
  <c r="B52" i="4"/>
  <c r="S52" i="4"/>
  <c r="R52" i="4"/>
  <c r="P52" i="4"/>
  <c r="O52" i="4"/>
  <c r="N52" i="4"/>
  <c r="M52" i="4"/>
  <c r="L52" i="4"/>
  <c r="J52" i="4"/>
  <c r="H52" i="4"/>
  <c r="F52" i="4"/>
  <c r="E52" i="4"/>
  <c r="D52" i="4"/>
  <c r="C52" i="4"/>
  <c r="A52" i="4"/>
  <c r="Q51" i="4"/>
  <c r="U51" i="4"/>
  <c r="I51" i="4"/>
  <c r="K51" i="4"/>
  <c r="V51" i="4"/>
  <c r="G51" i="4"/>
  <c r="T51" i="4"/>
  <c r="B51" i="4"/>
  <c r="S51" i="4"/>
  <c r="R51" i="4"/>
  <c r="P51" i="4"/>
  <c r="O51" i="4"/>
  <c r="N51" i="4"/>
  <c r="M51" i="4"/>
  <c r="L51" i="4"/>
  <c r="J51" i="4"/>
  <c r="H51" i="4"/>
  <c r="F51" i="4"/>
  <c r="E51" i="4"/>
  <c r="D51" i="4"/>
  <c r="C51" i="4"/>
  <c r="A51" i="4"/>
  <c r="Q50" i="4"/>
  <c r="U50" i="4"/>
  <c r="I50" i="4"/>
  <c r="K50" i="4"/>
  <c r="V50" i="4"/>
  <c r="G50" i="4"/>
  <c r="T50" i="4"/>
  <c r="B50" i="4"/>
  <c r="S50" i="4"/>
  <c r="R50" i="4"/>
  <c r="P50" i="4"/>
  <c r="O50" i="4"/>
  <c r="N50" i="4"/>
  <c r="M50" i="4"/>
  <c r="L50" i="4"/>
  <c r="J50" i="4"/>
  <c r="H50" i="4"/>
  <c r="F50" i="4"/>
  <c r="E50" i="4"/>
  <c r="D50" i="4"/>
  <c r="C50" i="4"/>
  <c r="A50" i="4"/>
  <c r="Q49" i="4"/>
  <c r="U49" i="4"/>
  <c r="I49" i="4"/>
  <c r="K49" i="4"/>
  <c r="V49" i="4"/>
  <c r="G49" i="4"/>
  <c r="T49" i="4"/>
  <c r="B49" i="4"/>
  <c r="S49" i="4"/>
  <c r="R49" i="4"/>
  <c r="P49" i="4"/>
  <c r="O49" i="4"/>
  <c r="N49" i="4"/>
  <c r="M49" i="4"/>
  <c r="L49" i="4"/>
  <c r="J49" i="4"/>
  <c r="H49" i="4"/>
  <c r="F49" i="4"/>
  <c r="E49" i="4"/>
  <c r="D49" i="4"/>
  <c r="C49" i="4"/>
  <c r="A49" i="4"/>
  <c r="Q48" i="4"/>
  <c r="U48" i="4"/>
  <c r="I48" i="4"/>
  <c r="K48" i="4"/>
  <c r="V48" i="4"/>
  <c r="G48" i="4"/>
  <c r="T48" i="4"/>
  <c r="B48" i="4"/>
  <c r="S48" i="4"/>
  <c r="R48" i="4"/>
  <c r="P48" i="4"/>
  <c r="O48" i="4"/>
  <c r="N48" i="4"/>
  <c r="M48" i="4"/>
  <c r="L48" i="4"/>
  <c r="J48" i="4"/>
  <c r="H48" i="4"/>
  <c r="F48" i="4"/>
  <c r="E48" i="4"/>
  <c r="D48" i="4"/>
  <c r="C48" i="4"/>
  <c r="A48" i="4"/>
  <c r="Q47" i="4"/>
  <c r="U47" i="4"/>
  <c r="I47" i="4"/>
  <c r="K47" i="4"/>
  <c r="V47" i="4"/>
  <c r="G47" i="4"/>
  <c r="T47" i="4"/>
  <c r="B47" i="4"/>
  <c r="S47" i="4"/>
  <c r="R47" i="4"/>
  <c r="P47" i="4"/>
  <c r="O47" i="4"/>
  <c r="N47" i="4"/>
  <c r="M47" i="4"/>
  <c r="L47" i="4"/>
  <c r="J47" i="4"/>
  <c r="H47" i="4"/>
  <c r="F47" i="4"/>
  <c r="E47" i="4"/>
  <c r="D47" i="4"/>
  <c r="C47" i="4"/>
  <c r="A47" i="4"/>
  <c r="Q46" i="4"/>
  <c r="U46" i="4"/>
  <c r="I46" i="4"/>
  <c r="K46" i="4"/>
  <c r="V46" i="4"/>
  <c r="G46" i="4"/>
  <c r="T46" i="4"/>
  <c r="B46" i="4"/>
  <c r="S46" i="4"/>
  <c r="R46" i="4"/>
  <c r="P46" i="4"/>
  <c r="O46" i="4"/>
  <c r="N46" i="4"/>
  <c r="M46" i="4"/>
  <c r="L46" i="4"/>
  <c r="J46" i="4"/>
  <c r="H46" i="4"/>
  <c r="F46" i="4"/>
  <c r="E46" i="4"/>
  <c r="D46" i="4"/>
  <c r="C46" i="4"/>
  <c r="A46" i="4"/>
  <c r="Q45" i="4"/>
  <c r="U45" i="4"/>
  <c r="I45" i="4"/>
  <c r="K45" i="4"/>
  <c r="V45" i="4"/>
  <c r="G45" i="4"/>
  <c r="T45" i="4"/>
  <c r="B45" i="4"/>
  <c r="S45" i="4"/>
  <c r="R45" i="4"/>
  <c r="P45" i="4"/>
  <c r="O45" i="4"/>
  <c r="N45" i="4"/>
  <c r="M45" i="4"/>
  <c r="L45" i="4"/>
  <c r="J45" i="4"/>
  <c r="H45" i="4"/>
  <c r="F45" i="4"/>
  <c r="E45" i="4"/>
  <c r="D45" i="4"/>
  <c r="C45" i="4"/>
  <c r="A45" i="4"/>
  <c r="Q44" i="4"/>
  <c r="U44" i="4"/>
  <c r="I44" i="4"/>
  <c r="K44" i="4"/>
  <c r="V44" i="4"/>
  <c r="G44" i="4"/>
  <c r="T44" i="4"/>
  <c r="B44" i="4"/>
  <c r="S44" i="4"/>
  <c r="R44" i="4"/>
  <c r="P44" i="4"/>
  <c r="O44" i="4"/>
  <c r="N44" i="4"/>
  <c r="M44" i="4"/>
  <c r="L44" i="4"/>
  <c r="J44" i="4"/>
  <c r="H44" i="4"/>
  <c r="F44" i="4"/>
  <c r="E44" i="4"/>
  <c r="D44" i="4"/>
  <c r="C44" i="4"/>
  <c r="A44" i="4"/>
  <c r="Q43" i="4"/>
  <c r="U43" i="4"/>
  <c r="I43" i="4"/>
  <c r="K43" i="4"/>
  <c r="V43" i="4"/>
  <c r="G43" i="4"/>
  <c r="T43" i="4"/>
  <c r="B43" i="4"/>
  <c r="S43" i="4"/>
  <c r="R43" i="4"/>
  <c r="P43" i="4"/>
  <c r="O43" i="4"/>
  <c r="N43" i="4"/>
  <c r="M43" i="4"/>
  <c r="L43" i="4"/>
  <c r="J43" i="4"/>
  <c r="H43" i="4"/>
  <c r="F43" i="4"/>
  <c r="E43" i="4"/>
  <c r="D43" i="4"/>
  <c r="C43" i="4"/>
  <c r="A43" i="4"/>
  <c r="Q42" i="4"/>
  <c r="U42" i="4"/>
  <c r="I42" i="4"/>
  <c r="K42" i="4"/>
  <c r="V42" i="4"/>
  <c r="G42" i="4"/>
  <c r="T42" i="4"/>
  <c r="B42" i="4"/>
  <c r="S42" i="4"/>
  <c r="R42" i="4"/>
  <c r="P42" i="4"/>
  <c r="O42" i="4"/>
  <c r="N42" i="4"/>
  <c r="M42" i="4"/>
  <c r="L42" i="4"/>
  <c r="J42" i="4"/>
  <c r="H42" i="4"/>
  <c r="F42" i="4"/>
  <c r="E42" i="4"/>
  <c r="D42" i="4"/>
  <c r="C42" i="4"/>
  <c r="A42" i="4"/>
  <c r="Q41" i="4"/>
  <c r="U41" i="4"/>
  <c r="I41" i="4"/>
  <c r="K41" i="4"/>
  <c r="V41" i="4"/>
  <c r="G41" i="4"/>
  <c r="T41" i="4"/>
  <c r="B41" i="4"/>
  <c r="S41" i="4"/>
  <c r="R41" i="4"/>
  <c r="P41" i="4"/>
  <c r="O41" i="4"/>
  <c r="N41" i="4"/>
  <c r="M41" i="4"/>
  <c r="L41" i="4"/>
  <c r="J41" i="4"/>
  <c r="H41" i="4"/>
  <c r="F41" i="4"/>
  <c r="E41" i="4"/>
  <c r="D41" i="4"/>
  <c r="C41" i="4"/>
  <c r="A41" i="4"/>
  <c r="Q40" i="4"/>
  <c r="U40" i="4"/>
  <c r="I40" i="4"/>
  <c r="K40" i="4"/>
  <c r="V40" i="4"/>
  <c r="G40" i="4"/>
  <c r="T40" i="4"/>
  <c r="B40" i="4"/>
  <c r="S40" i="4"/>
  <c r="R40" i="4"/>
  <c r="P40" i="4"/>
  <c r="O40" i="4"/>
  <c r="N40" i="4"/>
  <c r="M40" i="4"/>
  <c r="L40" i="4"/>
  <c r="J40" i="4"/>
  <c r="H40" i="4"/>
  <c r="F40" i="4"/>
  <c r="E40" i="4"/>
  <c r="D40" i="4"/>
  <c r="C40" i="4"/>
  <c r="A40" i="4"/>
  <c r="Q39" i="4"/>
  <c r="U39" i="4"/>
  <c r="I39" i="4"/>
  <c r="K39" i="4"/>
  <c r="V39" i="4"/>
  <c r="G39" i="4"/>
  <c r="T39" i="4"/>
  <c r="B39" i="4"/>
  <c r="S39" i="4"/>
  <c r="R39" i="4"/>
  <c r="P39" i="4"/>
  <c r="O39" i="4"/>
  <c r="N39" i="4"/>
  <c r="M39" i="4"/>
  <c r="L39" i="4"/>
  <c r="J39" i="4"/>
  <c r="H39" i="4"/>
  <c r="F39" i="4"/>
  <c r="E39" i="4"/>
  <c r="D39" i="4"/>
  <c r="C39" i="4"/>
  <c r="A39" i="4"/>
  <c r="Q38" i="4"/>
  <c r="U38" i="4"/>
  <c r="I38" i="4"/>
  <c r="K38" i="4"/>
  <c r="V38" i="4"/>
  <c r="G38" i="4"/>
  <c r="T38" i="4"/>
  <c r="B38" i="4"/>
  <c r="S38" i="4"/>
  <c r="R38" i="4"/>
  <c r="P38" i="4"/>
  <c r="O38" i="4"/>
  <c r="N38" i="4"/>
  <c r="M38" i="4"/>
  <c r="L38" i="4"/>
  <c r="J38" i="4"/>
  <c r="H38" i="4"/>
  <c r="F38" i="4"/>
  <c r="E38" i="4"/>
  <c r="D38" i="4"/>
  <c r="C38" i="4"/>
  <c r="A38" i="4"/>
  <c r="Q37" i="4"/>
  <c r="U37" i="4"/>
  <c r="I37" i="4"/>
  <c r="K37" i="4"/>
  <c r="V37" i="4"/>
  <c r="G37" i="4"/>
  <c r="T37" i="4"/>
  <c r="B37" i="4"/>
  <c r="S37" i="4"/>
  <c r="R37" i="4"/>
  <c r="P37" i="4"/>
  <c r="O37" i="4"/>
  <c r="N37" i="4"/>
  <c r="M37" i="4"/>
  <c r="L37" i="4"/>
  <c r="J37" i="4"/>
  <c r="H37" i="4"/>
  <c r="F37" i="4"/>
  <c r="E37" i="4"/>
  <c r="D37" i="4"/>
  <c r="C37" i="4"/>
  <c r="A37" i="4"/>
  <c r="Q36" i="4"/>
  <c r="U36" i="4"/>
  <c r="I36" i="4"/>
  <c r="K36" i="4"/>
  <c r="V36" i="4"/>
  <c r="G36" i="4"/>
  <c r="T36" i="4"/>
  <c r="B36" i="4"/>
  <c r="S36" i="4"/>
  <c r="R36" i="4"/>
  <c r="P36" i="4"/>
  <c r="O36" i="4"/>
  <c r="N36" i="4"/>
  <c r="M36" i="4"/>
  <c r="L36" i="4"/>
  <c r="J36" i="4"/>
  <c r="H36" i="4"/>
  <c r="F36" i="4"/>
  <c r="E36" i="4"/>
  <c r="D36" i="4"/>
  <c r="C36" i="4"/>
  <c r="A36" i="4"/>
  <c r="Q35" i="4"/>
  <c r="U35" i="4"/>
  <c r="I35" i="4"/>
  <c r="K35" i="4"/>
  <c r="V35" i="4"/>
  <c r="G35" i="4"/>
  <c r="T35" i="4"/>
  <c r="B35" i="4"/>
  <c r="S35" i="4"/>
  <c r="R35" i="4"/>
  <c r="P35" i="4"/>
  <c r="O35" i="4"/>
  <c r="N35" i="4"/>
  <c r="M35" i="4"/>
  <c r="L35" i="4"/>
  <c r="J35" i="4"/>
  <c r="H35" i="4"/>
  <c r="F35" i="4"/>
  <c r="E35" i="4"/>
  <c r="D35" i="4"/>
  <c r="C35" i="4"/>
  <c r="A35" i="4"/>
  <c r="Q34" i="4"/>
  <c r="U34" i="4"/>
  <c r="I34" i="4"/>
  <c r="K34" i="4"/>
  <c r="V34" i="4"/>
  <c r="G34" i="4"/>
  <c r="T34" i="4"/>
  <c r="B34" i="4"/>
  <c r="S34" i="4"/>
  <c r="R34" i="4"/>
  <c r="P34" i="4"/>
  <c r="O34" i="4"/>
  <c r="N34" i="4"/>
  <c r="M34" i="4"/>
  <c r="L34" i="4"/>
  <c r="J34" i="4"/>
  <c r="H34" i="4"/>
  <c r="F34" i="4"/>
  <c r="E34" i="4"/>
  <c r="D34" i="4"/>
  <c r="C34" i="4"/>
  <c r="A34" i="4"/>
  <c r="Q33" i="4"/>
  <c r="U33" i="4"/>
  <c r="I33" i="4"/>
  <c r="K33" i="4"/>
  <c r="V33" i="4"/>
  <c r="G33" i="4"/>
  <c r="T33" i="4"/>
  <c r="B33" i="4"/>
  <c r="S33" i="4"/>
  <c r="R33" i="4"/>
  <c r="P33" i="4"/>
  <c r="O33" i="4"/>
  <c r="N33" i="4"/>
  <c r="M33" i="4"/>
  <c r="L33" i="4"/>
  <c r="J33" i="4"/>
  <c r="H33" i="4"/>
  <c r="F33" i="4"/>
  <c r="E33" i="4"/>
  <c r="D33" i="4"/>
  <c r="C33" i="4"/>
  <c r="A33" i="4"/>
  <c r="Q32" i="4"/>
  <c r="U32" i="4"/>
  <c r="I32" i="4"/>
  <c r="K32" i="4"/>
  <c r="V32" i="4"/>
  <c r="G32" i="4"/>
  <c r="T32" i="4"/>
  <c r="B32" i="4"/>
  <c r="S32" i="4"/>
  <c r="R32" i="4"/>
  <c r="P32" i="4"/>
  <c r="O32" i="4"/>
  <c r="N32" i="4"/>
  <c r="M32" i="4"/>
  <c r="L32" i="4"/>
  <c r="J32" i="4"/>
  <c r="H32" i="4"/>
  <c r="F32" i="4"/>
  <c r="E32" i="4"/>
  <c r="D32" i="4"/>
  <c r="C32" i="4"/>
  <c r="A32" i="4"/>
  <c r="Q31" i="4"/>
  <c r="U31" i="4"/>
  <c r="I31" i="4"/>
  <c r="K31" i="4"/>
  <c r="V31" i="4"/>
  <c r="G31" i="4"/>
  <c r="T31" i="4"/>
  <c r="B31" i="4"/>
  <c r="S31" i="4"/>
  <c r="R31" i="4"/>
  <c r="P31" i="4"/>
  <c r="O31" i="4"/>
  <c r="N31" i="4"/>
  <c r="M31" i="4"/>
  <c r="L31" i="4"/>
  <c r="J31" i="4"/>
  <c r="H31" i="4"/>
  <c r="F31" i="4"/>
  <c r="E31" i="4"/>
  <c r="D31" i="4"/>
  <c r="C31" i="4"/>
  <c r="A31" i="4"/>
  <c r="Q30" i="4"/>
  <c r="U30" i="4"/>
  <c r="I30" i="4"/>
  <c r="K30" i="4"/>
  <c r="V30" i="4"/>
  <c r="G30" i="4"/>
  <c r="T30" i="4"/>
  <c r="B30" i="4"/>
  <c r="S30" i="4"/>
  <c r="R30" i="4"/>
  <c r="P30" i="4"/>
  <c r="O30" i="4"/>
  <c r="N30" i="4"/>
  <c r="M30" i="4"/>
  <c r="L30" i="4"/>
  <c r="J30" i="4"/>
  <c r="H30" i="4"/>
  <c r="F30" i="4"/>
  <c r="E30" i="4"/>
  <c r="D30" i="4"/>
  <c r="C30" i="4"/>
  <c r="A30" i="4"/>
  <c r="Q29" i="4"/>
  <c r="U29" i="4"/>
  <c r="I29" i="4"/>
  <c r="K29" i="4"/>
  <c r="V29" i="4"/>
  <c r="G29" i="4"/>
  <c r="T29" i="4"/>
  <c r="B29" i="4"/>
  <c r="S29" i="4"/>
  <c r="R29" i="4"/>
  <c r="P29" i="4"/>
  <c r="O29" i="4"/>
  <c r="N29" i="4"/>
  <c r="M29" i="4"/>
  <c r="L29" i="4"/>
  <c r="J29" i="4"/>
  <c r="H29" i="4"/>
  <c r="F29" i="4"/>
  <c r="E29" i="4"/>
  <c r="D29" i="4"/>
  <c r="C29" i="4"/>
  <c r="A29" i="4"/>
  <c r="Q28" i="4"/>
  <c r="U28" i="4"/>
  <c r="I28" i="4"/>
  <c r="K28" i="4"/>
  <c r="V28" i="4"/>
  <c r="G28" i="4"/>
  <c r="T28" i="4"/>
  <c r="B28" i="4"/>
  <c r="S28" i="4"/>
  <c r="R28" i="4"/>
  <c r="P28" i="4"/>
  <c r="O28" i="4"/>
  <c r="N28" i="4"/>
  <c r="M28" i="4"/>
  <c r="L28" i="4"/>
  <c r="J28" i="4"/>
  <c r="H28" i="4"/>
  <c r="F28" i="4"/>
  <c r="E28" i="4"/>
  <c r="D28" i="4"/>
  <c r="C28" i="4"/>
  <c r="A28" i="4"/>
  <c r="Q27" i="4"/>
  <c r="U27" i="4"/>
  <c r="I27" i="4"/>
  <c r="K27" i="4"/>
  <c r="V27" i="4"/>
  <c r="G27" i="4"/>
  <c r="T27" i="4"/>
  <c r="B27" i="4"/>
  <c r="S27" i="4"/>
  <c r="R27" i="4"/>
  <c r="P27" i="4"/>
  <c r="O27" i="4"/>
  <c r="N27" i="4"/>
  <c r="M27" i="4"/>
  <c r="L27" i="4"/>
  <c r="J27" i="4"/>
  <c r="H27" i="4"/>
  <c r="F27" i="4"/>
  <c r="E27" i="4"/>
  <c r="D27" i="4"/>
  <c r="C27" i="4"/>
  <c r="A27" i="4"/>
  <c r="Q26" i="4"/>
  <c r="U26" i="4"/>
  <c r="I26" i="4"/>
  <c r="K26" i="4"/>
  <c r="V26" i="4"/>
  <c r="G26" i="4"/>
  <c r="T26" i="4"/>
  <c r="B26" i="4"/>
  <c r="S26" i="4"/>
  <c r="R26" i="4"/>
  <c r="P26" i="4"/>
  <c r="O26" i="4"/>
  <c r="N26" i="4"/>
  <c r="M26" i="4"/>
  <c r="L26" i="4"/>
  <c r="J26" i="4"/>
  <c r="H26" i="4"/>
  <c r="F26" i="4"/>
  <c r="E26" i="4"/>
  <c r="D26" i="4"/>
  <c r="C26" i="4"/>
  <c r="A26" i="4"/>
  <c r="Q25" i="4"/>
  <c r="U25" i="4"/>
  <c r="I25" i="4"/>
  <c r="K25" i="4"/>
  <c r="V25" i="4"/>
  <c r="G25" i="4"/>
  <c r="T25" i="4"/>
  <c r="B25" i="4"/>
  <c r="S25" i="4"/>
  <c r="R25" i="4"/>
  <c r="P25" i="4"/>
  <c r="O25" i="4"/>
  <c r="N25" i="4"/>
  <c r="M25" i="4"/>
  <c r="L25" i="4"/>
  <c r="J25" i="4"/>
  <c r="H25" i="4"/>
  <c r="F25" i="4"/>
  <c r="E25" i="4"/>
  <c r="D25" i="4"/>
  <c r="C25" i="4"/>
  <c r="A25" i="4"/>
  <c r="Q24" i="4"/>
  <c r="U24" i="4"/>
  <c r="I24" i="4"/>
  <c r="K24" i="4"/>
  <c r="V24" i="4"/>
  <c r="G24" i="4"/>
  <c r="T24" i="4"/>
  <c r="B24" i="4"/>
  <c r="S24" i="4"/>
  <c r="R24" i="4"/>
  <c r="P24" i="4"/>
  <c r="O24" i="4"/>
  <c r="N24" i="4"/>
  <c r="M24" i="4"/>
  <c r="L24" i="4"/>
  <c r="J24" i="4"/>
  <c r="H24" i="4"/>
  <c r="F24" i="4"/>
  <c r="E24" i="4"/>
  <c r="D24" i="4"/>
  <c r="C24" i="4"/>
  <c r="A24" i="4"/>
  <c r="Q23" i="4"/>
  <c r="U23" i="4"/>
  <c r="I23" i="4"/>
  <c r="K23" i="4"/>
  <c r="V23" i="4"/>
  <c r="G23" i="4"/>
  <c r="T23" i="4"/>
  <c r="B23" i="4"/>
  <c r="S23" i="4"/>
  <c r="R23" i="4"/>
  <c r="P23" i="4"/>
  <c r="O23" i="4"/>
  <c r="N23" i="4"/>
  <c r="M23" i="4"/>
  <c r="L23" i="4"/>
  <c r="J23" i="4"/>
  <c r="H23" i="4"/>
  <c r="F23" i="4"/>
  <c r="E23" i="4"/>
  <c r="D23" i="4"/>
  <c r="C23" i="4"/>
  <c r="A23" i="4"/>
  <c r="Q22" i="4"/>
  <c r="U22" i="4"/>
  <c r="I22" i="4"/>
  <c r="K22" i="4"/>
  <c r="V22" i="4"/>
  <c r="G22" i="4"/>
  <c r="T22" i="4"/>
  <c r="B22" i="4"/>
  <c r="S22" i="4"/>
  <c r="R22" i="4"/>
  <c r="P22" i="4"/>
  <c r="O22" i="4"/>
  <c r="N22" i="4"/>
  <c r="M22" i="4"/>
  <c r="L22" i="4"/>
  <c r="J22" i="4"/>
  <c r="H22" i="4"/>
  <c r="F22" i="4"/>
  <c r="E22" i="4"/>
  <c r="D22" i="4"/>
  <c r="C22" i="4"/>
  <c r="A22" i="4"/>
  <c r="Q21" i="4"/>
  <c r="U21" i="4"/>
  <c r="I21" i="4"/>
  <c r="K21" i="4"/>
  <c r="V21" i="4"/>
  <c r="G21" i="4"/>
  <c r="T21" i="4"/>
  <c r="B21" i="4"/>
  <c r="S21" i="4"/>
  <c r="R21" i="4"/>
  <c r="P21" i="4"/>
  <c r="O21" i="4"/>
  <c r="N21" i="4"/>
  <c r="M21" i="4"/>
  <c r="L21" i="4"/>
  <c r="J21" i="4"/>
  <c r="H21" i="4"/>
  <c r="F21" i="4"/>
  <c r="E21" i="4"/>
  <c r="D21" i="4"/>
  <c r="C21" i="4"/>
  <c r="A21" i="4"/>
  <c r="Q20" i="4"/>
  <c r="U20" i="4"/>
  <c r="I20" i="4"/>
  <c r="K20" i="4"/>
  <c r="V20" i="4"/>
  <c r="G20" i="4"/>
  <c r="T20" i="4"/>
  <c r="B20" i="4"/>
  <c r="S20" i="4"/>
  <c r="R20" i="4"/>
  <c r="P20" i="4"/>
  <c r="O20" i="4"/>
  <c r="N20" i="4"/>
  <c r="M20" i="4"/>
  <c r="L20" i="4"/>
  <c r="J20" i="4"/>
  <c r="H20" i="4"/>
  <c r="F20" i="4"/>
  <c r="E20" i="4"/>
  <c r="D20" i="4"/>
  <c r="C20" i="4"/>
  <c r="A20" i="4"/>
  <c r="Q19" i="4"/>
  <c r="U19" i="4"/>
  <c r="I19" i="4"/>
  <c r="K19" i="4"/>
  <c r="V19" i="4"/>
  <c r="G19" i="4"/>
  <c r="T19" i="4"/>
  <c r="B19" i="4"/>
  <c r="S19" i="4"/>
  <c r="R19" i="4"/>
  <c r="P19" i="4"/>
  <c r="O19" i="4"/>
  <c r="N19" i="4"/>
  <c r="M19" i="4"/>
  <c r="L19" i="4"/>
  <c r="J19" i="4"/>
  <c r="H19" i="4"/>
  <c r="F19" i="4"/>
  <c r="E19" i="4"/>
  <c r="D19" i="4"/>
  <c r="C19" i="4"/>
  <c r="A19" i="4"/>
  <c r="Q18" i="4"/>
  <c r="U18" i="4"/>
  <c r="I18" i="4"/>
  <c r="K18" i="4"/>
  <c r="V18" i="4"/>
  <c r="G18" i="4"/>
  <c r="T18" i="4"/>
  <c r="B18" i="4"/>
  <c r="S18" i="4"/>
  <c r="R18" i="4"/>
  <c r="P18" i="4"/>
  <c r="O18" i="4"/>
  <c r="N18" i="4"/>
  <c r="M18" i="4"/>
  <c r="L18" i="4"/>
  <c r="J18" i="4"/>
  <c r="H18" i="4"/>
  <c r="F18" i="4"/>
  <c r="E18" i="4"/>
  <c r="D18" i="4"/>
  <c r="C18" i="4"/>
  <c r="A18" i="4"/>
  <c r="Q17" i="4"/>
  <c r="U17" i="4"/>
  <c r="I17" i="4"/>
  <c r="K17" i="4"/>
  <c r="V17" i="4"/>
  <c r="G17" i="4"/>
  <c r="T17" i="4"/>
  <c r="B17" i="4"/>
  <c r="S17" i="4"/>
  <c r="R17" i="4"/>
  <c r="P17" i="4"/>
  <c r="O17" i="4"/>
  <c r="N17" i="4"/>
  <c r="M17" i="4"/>
  <c r="L17" i="4"/>
  <c r="J17" i="4"/>
  <c r="H17" i="4"/>
  <c r="F17" i="4"/>
  <c r="E17" i="4"/>
  <c r="D17" i="4"/>
  <c r="C17" i="4"/>
  <c r="A17" i="4"/>
  <c r="Q16" i="4"/>
  <c r="U16" i="4"/>
  <c r="I16" i="4"/>
  <c r="K16" i="4"/>
  <c r="V16" i="4"/>
  <c r="G16" i="4"/>
  <c r="T16" i="4"/>
  <c r="B16" i="4"/>
  <c r="S16" i="4"/>
  <c r="R16" i="4"/>
  <c r="P16" i="4"/>
  <c r="O16" i="4"/>
  <c r="N16" i="4"/>
  <c r="M16" i="4"/>
  <c r="L16" i="4"/>
  <c r="J16" i="4"/>
  <c r="H16" i="4"/>
  <c r="F16" i="4"/>
  <c r="E16" i="4"/>
  <c r="D16" i="4"/>
  <c r="C16" i="4"/>
  <c r="A16" i="4"/>
  <c r="Q15" i="4"/>
  <c r="U15" i="4"/>
  <c r="I15" i="4"/>
  <c r="K15" i="4"/>
  <c r="V15" i="4"/>
  <c r="G15" i="4"/>
  <c r="T15" i="4"/>
  <c r="B15" i="4"/>
  <c r="S15" i="4"/>
  <c r="R15" i="4"/>
  <c r="P15" i="4"/>
  <c r="O15" i="4"/>
  <c r="N15" i="4"/>
  <c r="M15" i="4"/>
  <c r="L15" i="4"/>
  <c r="J15" i="4"/>
  <c r="H15" i="4"/>
  <c r="F15" i="4"/>
  <c r="E15" i="4"/>
  <c r="D15" i="4"/>
  <c r="C15" i="4"/>
  <c r="A15" i="4"/>
  <c r="Q14" i="4"/>
  <c r="U14" i="4"/>
  <c r="I14" i="4"/>
  <c r="K14" i="4"/>
  <c r="V14" i="4"/>
  <c r="G14" i="4"/>
  <c r="T14" i="4"/>
  <c r="B14" i="4"/>
  <c r="S14" i="4"/>
  <c r="R14" i="4"/>
  <c r="P14" i="4"/>
  <c r="O14" i="4"/>
  <c r="N14" i="4"/>
  <c r="M14" i="4"/>
  <c r="L14" i="4"/>
  <c r="J14" i="4"/>
  <c r="H14" i="4"/>
  <c r="F14" i="4"/>
  <c r="E14" i="4"/>
  <c r="D14" i="4"/>
  <c r="C14" i="4"/>
  <c r="A14" i="4"/>
  <c r="Q13" i="4"/>
  <c r="U13" i="4"/>
  <c r="I13" i="4"/>
  <c r="K13" i="4"/>
  <c r="V13" i="4"/>
  <c r="G13" i="4"/>
  <c r="T13" i="4"/>
  <c r="B13" i="4"/>
  <c r="S13" i="4"/>
  <c r="R13" i="4"/>
  <c r="P13" i="4"/>
  <c r="O13" i="4"/>
  <c r="N13" i="4"/>
  <c r="M13" i="4"/>
  <c r="L13" i="4"/>
  <c r="J13" i="4"/>
  <c r="H13" i="4"/>
  <c r="F13" i="4"/>
  <c r="E13" i="4"/>
  <c r="D13" i="4"/>
  <c r="C13" i="4"/>
  <c r="A13" i="4"/>
  <c r="Q12" i="4"/>
  <c r="U12" i="4"/>
  <c r="I12" i="4"/>
  <c r="K12" i="4"/>
  <c r="V12" i="4"/>
  <c r="G12" i="4"/>
  <c r="T12" i="4"/>
  <c r="B12" i="4"/>
  <c r="S12" i="4"/>
  <c r="R12" i="4"/>
  <c r="P12" i="4"/>
  <c r="O12" i="4"/>
  <c r="N12" i="4"/>
  <c r="M12" i="4"/>
  <c r="L12" i="4"/>
  <c r="J12" i="4"/>
  <c r="H12" i="4"/>
  <c r="F12" i="4"/>
  <c r="E12" i="4"/>
  <c r="D12" i="4"/>
  <c r="C12" i="4"/>
  <c r="A12" i="4"/>
  <c r="Q11" i="4"/>
  <c r="U11" i="4"/>
  <c r="I11" i="4"/>
  <c r="K11" i="4"/>
  <c r="V11" i="4"/>
  <c r="G11" i="4"/>
  <c r="T11" i="4"/>
  <c r="B11" i="4"/>
  <c r="S11" i="4"/>
  <c r="R11" i="4"/>
  <c r="P11" i="4"/>
  <c r="O11" i="4"/>
  <c r="N11" i="4"/>
  <c r="M11" i="4"/>
  <c r="L11" i="4"/>
  <c r="J11" i="4"/>
  <c r="H11" i="4"/>
  <c r="F11" i="4"/>
  <c r="E11" i="4"/>
  <c r="D11" i="4"/>
  <c r="C11" i="4"/>
  <c r="A11" i="4"/>
  <c r="Q10" i="4"/>
  <c r="U10" i="4"/>
  <c r="I10" i="4"/>
  <c r="K10" i="4"/>
  <c r="V10" i="4"/>
  <c r="G10" i="4"/>
  <c r="T10" i="4"/>
  <c r="B10" i="4"/>
  <c r="S10" i="4"/>
  <c r="R10" i="4"/>
  <c r="P10" i="4"/>
  <c r="O10" i="4"/>
  <c r="N10" i="4"/>
  <c r="M10" i="4"/>
  <c r="L10" i="4"/>
  <c r="J10" i="4"/>
  <c r="H10" i="4"/>
  <c r="F10" i="4"/>
  <c r="E10" i="4"/>
  <c r="D10" i="4"/>
  <c r="C10" i="4"/>
  <c r="A10" i="4"/>
  <c r="Q9" i="4"/>
  <c r="U9" i="4"/>
  <c r="I9" i="4"/>
  <c r="K9" i="4"/>
  <c r="V9" i="4"/>
  <c r="G9" i="4"/>
  <c r="T9" i="4"/>
  <c r="B9" i="4"/>
  <c r="S9" i="4"/>
  <c r="R9" i="4"/>
  <c r="P9" i="4"/>
  <c r="O9" i="4"/>
  <c r="N9" i="4"/>
  <c r="M9" i="4"/>
  <c r="L9" i="4"/>
  <c r="J9" i="4"/>
  <c r="H9" i="4"/>
  <c r="F9" i="4"/>
  <c r="E9" i="4"/>
  <c r="D9" i="4"/>
  <c r="C9" i="4"/>
  <c r="A9" i="4"/>
  <c r="Q8" i="4"/>
  <c r="U8" i="4"/>
  <c r="I8" i="4"/>
  <c r="K8" i="4"/>
  <c r="V8" i="4"/>
  <c r="G8" i="4"/>
  <c r="T8" i="4"/>
  <c r="B8" i="4"/>
  <c r="S8" i="4"/>
  <c r="R8" i="4"/>
  <c r="P8" i="4"/>
  <c r="O8" i="4"/>
  <c r="N8" i="4"/>
  <c r="M8" i="4"/>
  <c r="L8" i="4"/>
  <c r="J8" i="4"/>
  <c r="H8" i="4"/>
  <c r="F8" i="4"/>
  <c r="E8" i="4"/>
  <c r="D8" i="4"/>
  <c r="C8" i="4"/>
  <c r="A8" i="4"/>
  <c r="Q7" i="4"/>
  <c r="U7" i="4"/>
  <c r="I7" i="4"/>
  <c r="K7" i="4"/>
  <c r="V7" i="4"/>
  <c r="G7" i="4"/>
  <c r="T7" i="4"/>
  <c r="B7" i="4"/>
  <c r="S7" i="4"/>
  <c r="R7" i="4"/>
  <c r="P7" i="4"/>
  <c r="O7" i="4"/>
  <c r="N7" i="4"/>
  <c r="M7" i="4"/>
  <c r="L7" i="4"/>
  <c r="J7" i="4"/>
  <c r="H7" i="4"/>
  <c r="F7" i="4"/>
  <c r="E7" i="4"/>
  <c r="D7" i="4"/>
  <c r="C7" i="4"/>
  <c r="A7" i="4"/>
  <c r="Q6" i="4"/>
  <c r="U6" i="4"/>
  <c r="I6" i="4"/>
  <c r="K6" i="4"/>
  <c r="V6" i="4"/>
  <c r="G6" i="4"/>
  <c r="T6" i="4"/>
  <c r="B6" i="4"/>
  <c r="S6" i="4"/>
  <c r="R6" i="4"/>
  <c r="P6" i="4"/>
  <c r="O6" i="4"/>
  <c r="N6" i="4"/>
  <c r="M6" i="4"/>
  <c r="L6" i="4"/>
  <c r="J6" i="4"/>
  <c r="H6" i="4"/>
  <c r="F6" i="4"/>
  <c r="E6" i="4"/>
  <c r="D6" i="4"/>
  <c r="C6" i="4"/>
  <c r="A6" i="4"/>
  <c r="Q5" i="4"/>
  <c r="U5" i="4"/>
  <c r="I5" i="4"/>
  <c r="K5" i="4"/>
  <c r="V5" i="4"/>
  <c r="G5" i="4"/>
  <c r="T5" i="4"/>
  <c r="B5" i="4"/>
  <c r="S5" i="4"/>
  <c r="R5" i="4"/>
  <c r="P5" i="4"/>
  <c r="O5" i="4"/>
  <c r="N5" i="4"/>
  <c r="M5" i="4"/>
  <c r="L5" i="4"/>
  <c r="J5" i="4"/>
  <c r="H5" i="4"/>
  <c r="F5" i="4"/>
  <c r="E5" i="4"/>
  <c r="D5" i="4"/>
  <c r="C5" i="4"/>
  <c r="A5" i="4"/>
  <c r="Q4" i="4"/>
  <c r="U4" i="4"/>
  <c r="I4" i="4"/>
  <c r="K4" i="4"/>
  <c r="V4" i="4"/>
  <c r="G4" i="4"/>
  <c r="T4" i="4"/>
  <c r="B4" i="4"/>
  <c r="S4" i="4"/>
  <c r="R4" i="4"/>
  <c r="P4" i="4"/>
  <c r="O4" i="4"/>
  <c r="N4" i="4"/>
  <c r="M4" i="4"/>
  <c r="L4" i="4"/>
  <c r="J4" i="4"/>
  <c r="H4" i="4"/>
  <c r="F4" i="4"/>
  <c r="E4" i="4"/>
  <c r="D4" i="4"/>
  <c r="C4" i="4"/>
  <c r="A4" i="4"/>
  <c r="Q3" i="4"/>
  <c r="U3" i="4"/>
  <c r="I3" i="4"/>
  <c r="K3" i="4"/>
  <c r="V3" i="4"/>
  <c r="G3" i="4"/>
  <c r="T3" i="4"/>
  <c r="B3" i="4"/>
  <c r="S3" i="4"/>
  <c r="R3" i="4"/>
  <c r="P3" i="4"/>
  <c r="O3" i="4"/>
  <c r="N3" i="4"/>
  <c r="M3" i="4"/>
  <c r="L3" i="4"/>
  <c r="J3" i="4"/>
  <c r="H3" i="4"/>
  <c r="F3" i="4"/>
  <c r="E3" i="4"/>
  <c r="D3" i="4"/>
  <c r="C3" i="4"/>
  <c r="A3" i="4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D22" i="2"/>
  <c r="C22" i="2"/>
  <c r="B22" i="2"/>
  <c r="D21" i="2"/>
  <c r="C21" i="2"/>
  <c r="B21" i="2"/>
  <c r="D20" i="2"/>
  <c r="C20" i="2"/>
  <c r="B20" i="2"/>
  <c r="D19" i="2"/>
  <c r="C19" i="2"/>
  <c r="B19" i="2"/>
  <c r="J18" i="2"/>
  <c r="I18" i="2"/>
  <c r="H18" i="2"/>
  <c r="D18" i="2"/>
  <c r="C18" i="2"/>
  <c r="B18" i="2"/>
  <c r="J17" i="2"/>
  <c r="I17" i="2"/>
  <c r="H17" i="2"/>
  <c r="D17" i="2"/>
  <c r="C17" i="2"/>
  <c r="B17" i="2"/>
  <c r="J16" i="2"/>
  <c r="I16" i="2"/>
  <c r="H16" i="2"/>
  <c r="D16" i="2"/>
  <c r="C16" i="2"/>
  <c r="B16" i="2"/>
  <c r="J15" i="2"/>
  <c r="I15" i="2"/>
  <c r="H15" i="2"/>
  <c r="D15" i="2"/>
  <c r="C15" i="2"/>
  <c r="B15" i="2"/>
  <c r="C5" i="2"/>
  <c r="C6" i="2"/>
  <c r="C7" i="2"/>
  <c r="C8" i="2"/>
  <c r="C9" i="2"/>
  <c r="D5" i="2"/>
  <c r="D6" i="2"/>
  <c r="D7" i="2"/>
  <c r="D8" i="2"/>
  <c r="D9" i="2"/>
  <c r="D10" i="2"/>
  <c r="C10" i="2"/>
  <c r="B5" i="2"/>
  <c r="B6" i="2"/>
  <c r="B7" i="2"/>
  <c r="B8" i="2"/>
  <c r="B9" i="2"/>
  <c r="B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</calcChain>
</file>

<file path=xl/sharedStrings.xml><?xml version="1.0" encoding="utf-8"?>
<sst xmlns="http://schemas.openxmlformats.org/spreadsheetml/2006/main" count="1745" uniqueCount="459">
  <si>
    <t>📚  COMPLETE PROJECT GUIDE — Market Research &amp; Customer Segmentation Tool</t>
  </si>
  <si>
    <t>▶  ABOUT THIS PROJECT</t>
  </si>
  <si>
    <t>Tool Name</t>
  </si>
  <si>
    <t>Market Research &amp; Customer Segmentation Tool</t>
  </si>
  <si>
    <t>Purpose</t>
  </si>
  <si>
    <t>Analyze 120 customers across demographics, behavior &amp; RFM signals to drive marketing strategy</t>
  </si>
  <si>
    <t>Industry</t>
  </si>
  <si>
    <t>Marketing Analytics, Business Intelligence, E-Commerce, Retail, FMCG</t>
  </si>
  <si>
    <t>Tools Required</t>
  </si>
  <si>
    <t>Microsoft Excel 2019 / Office 365 (for XLOOKUP and dynamic arrays)</t>
  </si>
  <si>
    <t>Skill Level</t>
  </si>
  <si>
    <t>Beginner to Intermediate — all formulas explained with logic</t>
  </si>
  <si>
    <t>Sheet Count</t>
  </si>
  <si>
    <t>7 sheets: Raw Data, Cleaned Data, Segmentation Logic, KPI Summary, Pivot Analysis, Dashboard, Guide</t>
  </si>
  <si>
    <t>▶  SHEET STRUCTURE &amp; PURPOSE</t>
  </si>
  <si>
    <t>1. Raw Data</t>
  </si>
  <si>
    <t>Original 120-row customer dataset with 18 columns. Auto-assigns segments via formula.</t>
  </si>
  <si>
    <t>2. Cleaned Data</t>
  </si>
  <si>
    <t>Links to Raw Data + adds Age Group, Income Bracket, Recency Days, RFM Category</t>
  </si>
  <si>
    <t>3. Segmentation Logic</t>
  </si>
  <si>
    <t>Full reference guide: RFM scoring, segment definitions, formula directory</t>
  </si>
  <si>
    <t>4. KPI Summary</t>
  </si>
  <si>
    <t>12 KPI cards + segment table + region table — all formula-driven</t>
  </si>
  <si>
    <t>5. Pivot Analysis</t>
  </si>
  <si>
    <t>5 pre-built analysis tables simulating pivot output across key dimensions</t>
  </si>
  <si>
    <t>6. Dashboard</t>
  </si>
  <si>
    <t>Executive dashboard with 6 KPI cards, 4 charts, and 6 insight cards</t>
  </si>
  <si>
    <t>7. Project Guide</t>
  </si>
  <si>
    <t>This sheet — complete how-to documentation</t>
  </si>
  <si>
    <t>▶  KEY FORMULAS EXPLAINED</t>
  </si>
  <si>
    <t>IF(cond,t,f)</t>
  </si>
  <si>
    <t>Core segmentation logic — assigns segment based on conditions</t>
  </si>
  <si>
    <t>ifs(C1,V1,C2,V2,...)</t>
  </si>
  <si>
    <t>Assigns multiple segments cleanly without nested IFs</t>
  </si>
  <si>
    <t>COUNTIFS(range,crit)</t>
  </si>
  <si>
    <t>Count customers matching multiple conditions (e.g., region + segment)</t>
  </si>
  <si>
    <t>SUMIFS(sum,range,cr)</t>
  </si>
  <si>
    <t>Sum revenue for a specific segment or region</t>
  </si>
  <si>
    <t>AVERAGEIFS(avg,r,c)</t>
  </si>
  <si>
    <t>Average AOV or spending for a specific segment</t>
  </si>
  <si>
    <t>IFERROR(formula,0)</t>
  </si>
  <si>
    <t>Prevents #DIV/0! and #N/A errors in ratio calculations</t>
  </si>
  <si>
    <t>TODAY()-lastdate</t>
  </si>
  <si>
    <t>Calculates recency in days for RFM analysis</t>
  </si>
  <si>
    <t>xlookup(val,arr,ret)</t>
  </si>
  <si>
    <t>Modern lookup: find customer data by ID across sheets</t>
  </si>
  <si>
    <t>ColorScaleRule</t>
  </si>
  <si>
    <t>Conditional formatting: green=high spend, red=low spend on Total Spending</t>
  </si>
  <si>
    <t>FormulaRule</t>
  </si>
  <si>
    <t>Highlights entire row based on segment (Premium=gold, At Risk=red)</t>
  </si>
  <si>
    <t>▶  HOW TO USE THIS FILE</t>
  </si>
  <si>
    <t>Step 1</t>
  </si>
  <si>
    <t>Start at Raw Data — review the dataset and note the 18 columns</t>
  </si>
  <si>
    <t>Step 2</t>
  </si>
  <si>
    <t>Column R (Customer Segment) auto-calculates from the IF formula — don't edit</t>
  </si>
  <si>
    <t>Step 3</t>
  </si>
  <si>
    <t>Open Cleaned Data to see derived columns: Age Group, Income Bracket, Recency, RFM</t>
  </si>
  <si>
    <t>Step 4</t>
  </si>
  <si>
    <t>Visit Segmentation Logic to understand the business rules behind each segment</t>
  </si>
  <si>
    <t>Step 5</t>
  </si>
  <si>
    <t>Go to KPI Summary for all metrics — all are formula-driven from Raw Data</t>
  </si>
  <si>
    <t>Step 6</t>
  </si>
  <si>
    <t>Pivot Analysis shows 5 breakdown views: Segment, Region, Category, Channel, Age</t>
  </si>
  <si>
    <t>Step 7</t>
  </si>
  <si>
    <t>Dashboard is the final output — use it for presentations and GitHub screenshots</t>
  </si>
  <si>
    <t>Step 8</t>
  </si>
  <si>
    <t>To add new customers: insert rows in Raw Data between rows 4-123, extend formulas</t>
  </si>
  <si>
    <t>Step 9</t>
  </si>
  <si>
    <t>Take screenshot of Dashboard tab for GitHub README and LinkedIn post</t>
  </si>
  <si>
    <t>Step 10</t>
  </si>
  <si>
    <t>Export as PDF (File → Export) for email-ready report delivery</t>
  </si>
  <si>
    <t>▶  RESUME / GITHUB / LINKEDIN</t>
  </si>
  <si>
    <t>GitHub Repo Name</t>
  </si>
  <si>
    <t>market-research-customer-segmentation-excel</t>
  </si>
  <si>
    <t>One-Line Description</t>
  </si>
  <si>
    <t>Advanced Excel dashboard for customer segmentation using RFM analysis &amp; dynamic KPI cards</t>
  </si>
  <si>
    <t>Resume (1-line)</t>
  </si>
  <si>
    <t>Built Excel-based Customer Segmentation Tool with RFM analysis, COUNTIFS/SUMIFS KPIs &amp; interactive dashboard</t>
  </si>
  <si>
    <t>Resume (ATS version)</t>
  </si>
  <si>
    <t>Developed Market Research &amp; Customer Segmentation Tool in Excel analyzing 120+ customers using IF/IFS segmentation logic, SUMIFS/COUNTIFS for KPI calculation, RFM analysis framework, conditional formatting, and an executive dashboard with 4 chart types and 6 dynamic KPI cards</t>
  </si>
  <si>
    <t>LinkedIn Hook</t>
  </si>
  <si>
    <t>🚀 Built a Customer Segmentation Dashboard in Excel that any marketing analyst would actually use in their job...</t>
  </si>
  <si>
    <t>Hashtags</t>
  </si>
  <si>
    <t>#Excel #DataAnalytics #CustomerSegmentation #RFMAnalysis #MarketingAnalytics #BusinessIntelligence #MBAProjects #DataDriven</t>
  </si>
  <si>
    <t>🔄  Pivot Analysis  |  Pre-built Summary Tables (Simulated Pivot Output)</t>
  </si>
  <si>
    <t>📊 PIVOT 1 — Customers &amp; Revenue by Segment</t>
  </si>
  <si>
    <t>📊 PIVOT 2 — Customers by Region × Segment</t>
  </si>
  <si>
    <t>Segment</t>
  </si>
  <si>
    <t>Count</t>
  </si>
  <si>
    <t>Revenue (₹)</t>
  </si>
  <si>
    <t>Revenue %</t>
  </si>
  <si>
    <t>Region</t>
  </si>
  <si>
    <t>Premium Customer</t>
  </si>
  <si>
    <t>Loyal Customer</t>
  </si>
  <si>
    <t>Bargain Seeker</t>
  </si>
  <si>
    <t>At Risk</t>
  </si>
  <si>
    <t>General Customer</t>
  </si>
  <si>
    <t>North</t>
  </si>
  <si>
    <t>South</t>
  </si>
  <si>
    <t>East</t>
  </si>
  <si>
    <t>West</t>
  </si>
  <si>
    <t>All</t>
  </si>
  <si>
    <t>TOTAL</t>
  </si>
  <si>
    <t>📊 PIVOT 3 — Product Category Preference</t>
  </si>
  <si>
    <t>📊 PIVOT 4 — Channel × Customer Type Analysis</t>
  </si>
  <si>
    <t>Category</t>
  </si>
  <si>
    <t>Customers</t>
  </si>
  <si>
    <t>Avg Spend (₹)</t>
  </si>
  <si>
    <t>% Customers</t>
  </si>
  <si>
    <t>Channel</t>
  </si>
  <si>
    <t>Cust Type</t>
  </si>
  <si>
    <t>Avg AOV (₹)</t>
  </si>
  <si>
    <t>Electronics</t>
  </si>
  <si>
    <t>Online</t>
  </si>
  <si>
    <t>New</t>
  </si>
  <si>
    <t>Fashion</t>
  </si>
  <si>
    <t>Returning</t>
  </si>
  <si>
    <t>Grocery</t>
  </si>
  <si>
    <t>Offline</t>
  </si>
  <si>
    <t>Home &amp; Decor</t>
  </si>
  <si>
    <t>Sports</t>
  </si>
  <si>
    <t>Beauty</t>
  </si>
  <si>
    <t>Books</t>
  </si>
  <si>
    <t>Travel</t>
  </si>
  <si>
    <t>📊 PIVOT 5 — Age Group Performance</t>
  </si>
  <si>
    <t>Age Group</t>
  </si>
  <si>
    <t>Preferred Channel</t>
  </si>
  <si>
    <t>18-24</t>
  </si>
  <si>
    <t>25-34</t>
  </si>
  <si>
    <t>35-44</t>
  </si>
  <si>
    <t>45-54</t>
  </si>
  <si>
    <t>55+</t>
  </si>
  <si>
    <t>🎯  Segmentation Logic &amp; Scoring Framework</t>
  </si>
  <si>
    <t>SECTION 1 — RFM SCORING MODEL</t>
  </si>
  <si>
    <t>Dimension</t>
  </si>
  <si>
    <t>Column Used</t>
  </si>
  <si>
    <t>Formula Logic</t>
  </si>
  <si>
    <t>Score 5 (Best)</t>
  </si>
  <si>
    <t>Score 4</t>
  </si>
  <si>
    <t>Score 3</t>
  </si>
  <si>
    <t>Score 2</t>
  </si>
  <si>
    <t>Score 1 (Worst)</t>
  </si>
  <si>
    <t>Recency (R)</t>
  </si>
  <si>
    <t>Last Purchase Date</t>
  </si>
  <si>
    <t>TODAY()-last_purchase</t>
  </si>
  <si>
    <t>&lt; 30 days</t>
  </si>
  <si>
    <t>31-60 days</t>
  </si>
  <si>
    <t>61-90 days</t>
  </si>
  <si>
    <t>91-180 days</t>
  </si>
  <si>
    <t>&gt; 180 days</t>
  </si>
  <si>
    <t>Frequency (F)</t>
  </si>
  <si>
    <t>Purchase Frequency</t>
  </si>
  <si>
    <t>Count of purchases</t>
  </si>
  <si>
    <t>&gt; 20 times</t>
  </si>
  <si>
    <t>15-20</t>
  </si>
  <si>
    <t>10-14</t>
  </si>
  <si>
    <t>5-9</t>
  </si>
  <si>
    <t>&lt; 5 times</t>
  </si>
  <si>
    <t>Monetary (M)</t>
  </si>
  <si>
    <t>Total Spending</t>
  </si>
  <si>
    <t>sum of purchases</t>
  </si>
  <si>
    <t>&gt; ₹1,00,000</t>
  </si>
  <si>
    <t>₹75K-1L</t>
  </si>
  <si>
    <t>₹50K-75K</t>
  </si>
  <si>
    <t>₹25K-50K</t>
  </si>
  <si>
    <t>&lt; ₹25,000</t>
  </si>
  <si>
    <t>SECTION 2 — CUSTOMER SEGMENT DEFINITIONS &amp; BUSINESS RULES</t>
  </si>
  <si>
    <t>Segment Name</t>
  </si>
  <si>
    <t>Color Code</t>
  </si>
  <si>
    <t>Engagement</t>
  </si>
  <si>
    <t>Frequency</t>
  </si>
  <si>
    <t>Recency</t>
  </si>
  <si>
    <t>Discount Sens.</t>
  </si>
  <si>
    <t>Marketing Action</t>
  </si>
  <si>
    <t>Dark Blue / Gold</t>
  </si>
  <si>
    <t>≥ ₹1,00,000</t>
  </si>
  <si>
    <t>High</t>
  </si>
  <si>
    <t>Any</t>
  </si>
  <si>
    <t>VIP programs, exclusive offers</t>
  </si>
  <si>
    <t>Green</t>
  </si>
  <si>
    <t>≥ ₹50,000</t>
  </si>
  <si>
    <t>Medium+</t>
  </si>
  <si>
    <t>≥ 12</t>
  </si>
  <si>
    <t>&lt; 90d</t>
  </si>
  <si>
    <t>Loyalty rewards, early access</t>
  </si>
  <si>
    <t>Orange</t>
  </si>
  <si>
    <t>&lt; ₹30,000</t>
  </si>
  <si>
    <t>≥ 5</t>
  </si>
  <si>
    <t>Flash sales, bundle deals</t>
  </si>
  <si>
    <t>Red</t>
  </si>
  <si>
    <t>Low</t>
  </si>
  <si>
    <t>&lt; 5</t>
  </si>
  <si>
    <t>&gt; 180d</t>
  </si>
  <si>
    <t>Win-back email, discount offer</t>
  </si>
  <si>
    <t>Light Blue</t>
  </si>
  <si>
    <t>Medium</t>
  </si>
  <si>
    <t>Nurture campaigns, cross-sell</t>
  </si>
  <si>
    <t>SECTION 3 — KEY EXCEL FORMULAS USED IN THIS PROJECT</t>
  </si>
  <si>
    <t>Formula</t>
  </si>
  <si>
    <t>Example Used in Project</t>
  </si>
  <si>
    <t>Sheet</t>
  </si>
  <si>
    <t>Output Type</t>
  </si>
  <si>
    <t>IF(,TRUE())</t>
  </si>
  <si>
    <t>Conditional logic</t>
  </si>
  <si>
    <t>IF(totalspend&gt;=100000,"Premium","Other")</t>
  </si>
  <si>
    <t>Raw Data</t>
  </si>
  <si>
    <t>Text/Number</t>
  </si>
  <si>
    <t>ifs()</t>
  </si>
  <si>
    <t>Multiple conditions</t>
  </si>
  <si>
    <t>ifs(eng="High","Premium",freq&gt;=12,"Loyal",...)</t>
  </si>
  <si>
    <t>Text</t>
  </si>
  <si>
    <t>SUMIFS()</t>
  </si>
  <si>
    <t>Conditional sum</t>
  </si>
  <si>
    <t>SUMIFS(totalspend,segment,"Loyal")</t>
  </si>
  <si>
    <t>KPI Summary</t>
  </si>
  <si>
    <t>Number</t>
  </si>
  <si>
    <t>COUNTIFS()</t>
  </si>
  <si>
    <t>Conditional count</t>
  </si>
  <si>
    <t>COUNTIFS(region,"West",segment,"Premium")</t>
  </si>
  <si>
    <t>AVERAGEIFS()</t>
  </si>
  <si>
    <t>Conditional average</t>
  </si>
  <si>
    <t>AVERAGEIFS(aov,segment,"Loyal")</t>
  </si>
  <si>
    <t>IFERROR()</t>
  </si>
  <si>
    <t>Error handling</t>
  </si>
  <si>
    <t>IFERROR(VLOOKUP(...),"Not Found")</t>
  </si>
  <si>
    <t>Cleaned Data</t>
  </si>
  <si>
    <t>TODAY()</t>
  </si>
  <si>
    <t>Current date</t>
  </si>
  <si>
    <t>TODAY()-lastpurchasedate</t>
  </si>
  <si>
    <t>Date/Number</t>
  </si>
  <si>
    <t>xlookup()</t>
  </si>
  <si>
    <t>Modern lookup</t>
  </si>
  <si>
    <t>xlookup(custid,custtable,segmentcol,"N/A")</t>
  </si>
  <si>
    <t>TEXT()</t>
  </si>
  <si>
    <t>Format as text</t>
  </si>
  <si>
    <t>TEXT(lastpurchasedate,"MMM-YYYY")</t>
  </si>
  <si>
    <t>Dashboard</t>
  </si>
  <si>
    <t>LARGE()/SMALL()</t>
  </si>
  <si>
    <t>Rank values</t>
  </si>
  <si>
    <t>LARGE(totalspend,1) for top spender</t>
  </si>
  <si>
    <t>✅  Cleaned &amp; Enriched Data  |  With Age Group, Income Bracket &amp; RFM Indicators</t>
  </si>
  <si>
    <t>Customer ID</t>
  </si>
  <si>
    <t>Age</t>
  </si>
  <si>
    <t>Gender</t>
  </si>
  <si>
    <t>City</t>
  </si>
  <si>
    <t>Income Level</t>
  </si>
  <si>
    <t>Annual Income (₹)</t>
  </si>
  <si>
    <t>Occupation</t>
  </si>
  <si>
    <t>Avg Order Value (₹)</t>
  </si>
  <si>
    <t>Total Spending (₹)</t>
  </si>
  <si>
    <t>Preferred Category</t>
  </si>
  <si>
    <t>Purchase Channel</t>
  </si>
  <si>
    <t>Customer Type</t>
  </si>
  <si>
    <t>Engagement Level</t>
  </si>
  <si>
    <t>Discount Sensitivity</t>
  </si>
  <si>
    <t>Customer Segment</t>
  </si>
  <si>
    <t>Income Bracket</t>
  </si>
  <si>
    <t>Recency (Days)</t>
  </si>
  <si>
    <t>RFM Category</t>
  </si>
  <si>
    <t>📊  Market Research &amp; Customer Segmentation Tool  |  Raw Dataset  |  FY 2024-25</t>
  </si>
  <si>
    <t>Source: Internal CRM  |  Last Updated: Dec 2025  |  Records: 120 Customers</t>
  </si>
  <si>
    <t>CUST0001</t>
  </si>
  <si>
    <t>Male</t>
  </si>
  <si>
    <t>Delhi</t>
  </si>
  <si>
    <t>Self-Employed</t>
  </si>
  <si>
    <t>CUST0002</t>
  </si>
  <si>
    <t>Hyderabad</t>
  </si>
  <si>
    <t>Mid</t>
  </si>
  <si>
    <t>Freelancer</t>
  </si>
  <si>
    <t>CUST0003</t>
  </si>
  <si>
    <t>Female</t>
  </si>
  <si>
    <t>Pune</t>
  </si>
  <si>
    <t>CUST0004</t>
  </si>
  <si>
    <t>Student</t>
  </si>
  <si>
    <t>CUST0005</t>
  </si>
  <si>
    <t>Jaipur</t>
  </si>
  <si>
    <t>Salaried</t>
  </si>
  <si>
    <t>CUST0006</t>
  </si>
  <si>
    <t>CUST0007</t>
  </si>
  <si>
    <t>Lucknow</t>
  </si>
  <si>
    <t>CUST0008</t>
  </si>
  <si>
    <t>Kolkata</t>
  </si>
  <si>
    <t>Business Owner</t>
  </si>
  <si>
    <t>CUST0009</t>
  </si>
  <si>
    <t>Other</t>
  </si>
  <si>
    <t>Ahmedabad</t>
  </si>
  <si>
    <t>CUST0010</t>
  </si>
  <si>
    <t>CUST0011</t>
  </si>
  <si>
    <t>CUST0012</t>
  </si>
  <si>
    <t>CUST0013</t>
  </si>
  <si>
    <t>Chennai</t>
  </si>
  <si>
    <t>CUST0014</t>
  </si>
  <si>
    <t>CUST0015</t>
  </si>
  <si>
    <t>Bangalore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</si>
  <si>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</si>
  <si>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</si>
  <si>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</si>
  <si>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</si>
  <si>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</si>
  <si>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</si>
  <si>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</si>
  <si>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</si>
  <si>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</si>
  <si>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</si>
  <si>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</si>
  <si>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</si>
  <si>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</si>
  <si>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Mumbai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</si>
  <si>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</si>
  <si>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</si>
  <si>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</si>
  <si>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</si>
  <si>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</si>
  <si>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</si>
  <si>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</si>
  <si>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</si>
  <si>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</si>
  <si>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</si>
  <si>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</si>
  <si>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</si>
  <si>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</si>
  <si>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</si>
  <si>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</si>
  <si>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</si>
  <si>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</si>
  <si>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</si>
  <si>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</si>
  <si>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</si>
  <si>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</si>
  <si>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</si>
  <si>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</si>
  <si>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</si>
  <si>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</si>
  <si>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</si>
  <si>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</si>
  <si>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</si>
  <si>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</si>
  <si>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</si>
  <si>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</si>
  <si>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</si>
  <si>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</si>
  <si>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</si>
  <si>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</si>
  <si>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</si>
  <si>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</si>
  <si>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</si>
  <si>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</si>
  <si>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</si>
  <si>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</si>
  <si>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</si>
  <si>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</si>
  <si>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</si>
  <si>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</si>
  <si>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</si>
  <si>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</si>
  <si>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</si>
  <si>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</si>
  <si>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</si>
  <si>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</si>
  <si>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</si>
  <si>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</si>
  <si>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</si>
  <si>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</si>
  <si>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</si>
  <si>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</si>
  <si>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</si>
  <si>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</si>
  <si>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</si>
  <si>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</si>
  <si>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</si>
  <si>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</si>
  <si>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</si>
  <si>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</si>
  <si>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</si>
  <si>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</si>
  <si>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</si>
  <si>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</si>
  <si>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</si>
  <si>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</si>
  <si>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</si>
  <si>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</si>
  <si>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</si>
  <si>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</si>
  <si>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</si>
  <si>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</si>
  <si>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</si>
  <si>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</si>
  <si>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</si>
  <si>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</si>
  <si>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</si>
  <si>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</si>
  <si>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</si>
  <si>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</si>
  <si>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</si>
  <si>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</si>
  <si>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</si>
  <si>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</si>
  <si>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</si>
  <si>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</si>
  <si>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</si>
  <si>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📈  KPI Summary  |  Market Research &amp; Customer Segmentation Tool  |  FY 2024-25</t>
  </si>
  <si>
    <t>👥</t>
  </si>
  <si>
    <t>💰</t>
  </si>
  <si>
    <t>🛒</t>
  </si>
  <si>
    <t>⭐</t>
  </si>
  <si>
    <t>Total Customers</t>
  </si>
  <si>
    <t>Total Revenue (₹)</t>
  </si>
  <si>
    <t>Premium Customers</t>
  </si>
  <si>
    <t>❤️</t>
  </si>
  <si>
    <t>⚠️</t>
  </si>
  <si>
    <t>🏷️</t>
  </si>
  <si>
    <t>🔄</t>
  </si>
  <si>
    <t>Loyal Customers</t>
  </si>
  <si>
    <t>At Risk Customers</t>
  </si>
  <si>
    <t>Bargain Seekers</t>
  </si>
  <si>
    <t>Repeat Customer %</t>
  </si>
  <si>
    <t>📊</t>
  </si>
  <si>
    <t>🌐</t>
  </si>
  <si>
    <t>🔥</t>
  </si>
  <si>
    <t>🏆</t>
  </si>
  <si>
    <t>Avg Purchase Freq</t>
  </si>
  <si>
    <t>Online Channel %</t>
  </si>
  <si>
    <t>High Engagement %</t>
  </si>
  <si>
    <t>Top Segment Revenue</t>
  </si>
  <si>
    <t>SEGMENT-WISE PERFORMANCE ANALYSIS</t>
  </si>
  <si>
    <t>% of Total</t>
  </si>
  <si>
    <t>Avg Annual Income (₹)</t>
  </si>
  <si>
    <t>Revenue Share %</t>
  </si>
  <si>
    <t>Recommendation</t>
  </si>
  <si>
    <t>🏆 Exclusive VIP treatment</t>
  </si>
  <si>
    <t>❤️ Reward &amp; retain</t>
  </si>
  <si>
    <t>🏷️ Flash sales &amp; bundles</t>
  </si>
  <si>
    <t>⚠️ Win-back campaign</t>
  </si>
  <si>
    <t>📬 Nurture &amp; upsell</t>
  </si>
  <si>
    <t>REGION-WISE PERFORMANCE</t>
  </si>
  <si>
    <t>Premium Count</t>
  </si>
  <si>
    <t>Online %</t>
  </si>
  <si>
    <t>Satisfaction Proxy</t>
  </si>
  <si>
    <t>📊  MARKET RESEARCH &amp; CUSTOMER SEGMENTATION DASHBOARD  |  FY 2024–25</t>
  </si>
  <si>
    <t>Interactive Analytics Tool  |  Marketing &amp; Strategy Team  |  Customer Intelligence Division</t>
  </si>
  <si>
    <t>TOTAL CUSTOMERS</t>
  </si>
  <si>
    <t>TOTAL REVENUE</t>
  </si>
  <si>
    <t>AVG ORDER VALUE</t>
  </si>
  <si>
    <t>PREMIUM CUSTOMERS</t>
  </si>
  <si>
    <t>AT RISK CUSTOMERS</t>
  </si>
  <si>
    <t>REPEAT CUSTOMER %</t>
  </si>
  <si>
    <t>🔎  KEY BUSINESS INSIGHTS &amp; RECOMMENDATIONS</t>
  </si>
  <si>
    <t>💰 Revenue Driver</t>
  </si>
  <si>
    <t>Premium Customers (≥₹1L spend + High Engagement) generate the highest revenue per customer. Prioritize VIP programs &amp; exclusive offers to retain this group.</t>
  </si>
  <si>
    <t>⚠️ Retention Alert</t>
  </si>
  <si>
    <t>At Risk customers (&gt;180 days inactive, &lt;5 purchases) need immediate win-back campaigns with personalized discount offers or loyalty incentives.</t>
  </si>
  <si>
    <t>🛒 Channel Strategy</t>
  </si>
  <si>
    <t>Online channel dominates among 25-34 age group. Invest in digital marketing, push notifications, and app-exclusive deals for this segment.</t>
  </si>
  <si>
    <t>🏷️ Discount Approach</t>
  </si>
  <si>
    <t>Bargain Seekers respond best to flash sales &amp; bundle deals. Avoid deep discounts on Premium segment — it devalues brand perception.</t>
  </si>
  <si>
    <t>🌍 Regional Focus</t>
  </si>
  <si>
    <t>North &amp; West regions contribute highest revenue. South region shows growth potential with high engagement but moderate spend — requires targeted campaigns.</t>
  </si>
  <si>
    <t>📊 Product Insight</t>
  </si>
  <si>
    <t>Electronics &amp; Fashion drive highest Average Order Value. Grocery shows highest purchase frequency. Cross-sell Electronics to Grocery repeat buyers.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</si>
</sst>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"/>
    <numFmt numFmtId="165" formatCode="0.0%"/>
    <numFmt numFmtId="166" formatCode="mm/dd/yy"/>
    <numFmt numFmtId="167" formatCode="\₹#,##0.00"/>
    <numFmt numFmtId="168" formatCode="dd\-mmm\-yyyy"/>
    <numFmt numFmtId="169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E699"/>
      <name val="Arial"/>
      <charset val="1"/>
    </font>
    <font>
      <sz val="9"/>
      <color rgb="FF000080"/>
      <name val="Courier New"/>
      <charset val="1"/>
    </font>
    <font>
      <i/>
      <sz val="9"/>
      <color rgb="FF595959"/>
      <name val="Arial"/>
      <charset val="1"/>
    </font>
    <font>
      <sz val="18"/>
      <name val="Cambria"/>
      <charset val="1"/>
    </font>
    <font>
      <b/>
      <sz val="20"/>
      <color rgb="FFFFFFFF"/>
      <name val="Arial"/>
      <charset val="1"/>
    </font>
    <font>
      <b/>
      <sz val="16"/>
      <color rgb="FFFFFFFF"/>
      <name val="Arial"/>
      <charset val="1"/>
    </font>
    <font>
      <sz val="16"/>
      <name val="Cambria"/>
      <charset val="1"/>
    </font>
    <font>
      <b/>
      <sz val="22"/>
      <color rgb="FFFFFFFF"/>
      <name val="Arial"/>
      <charset val="1"/>
    </font>
    <font>
      <b/>
      <sz val="8"/>
      <color rgb="FFBDD7EE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672A8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0F4F8"/>
      </patternFill>
    </fill>
    <fill>
      <patternFill patternType="solid">
        <fgColor rgb="FFFFFFFF"/>
        <bgColor rgb="FFF9F9F9"/>
      </patternFill>
    </fill>
    <fill>
      <patternFill patternType="solid">
        <fgColor rgb="FF70AD47"/>
        <bgColor rgb="FF8AA64F"/>
      </patternFill>
    </fill>
    <fill>
      <patternFill patternType="solid">
        <fgColor rgb="FF595959"/>
        <bgColor rgb="FF725990"/>
      </patternFill>
    </fill>
    <fill>
      <patternFill patternType="solid">
        <fgColor rgb="FFED7D31"/>
        <bgColor rgb="FFDC853E"/>
      </patternFill>
    </fill>
    <fill>
      <patternFill patternType="solid">
        <fgColor rgb="FFC00000"/>
        <bgColor rgb="FF800000"/>
      </patternFill>
    </fill>
    <fill>
      <patternFill patternType="solid">
        <fgColor rgb="FF00B0F0"/>
        <bgColor rgb="FF33CCCC"/>
      </patternFill>
    </fill>
    <fill>
      <patternFill patternType="solid">
        <fgColor rgb="FFF0F4F8"/>
        <bgColor rgb="FFF2F2F2"/>
      </patternFill>
    </fill>
    <fill>
      <patternFill patternType="solid">
        <fgColor rgb="FF1F4E79"/>
        <bgColor rgb="FF1F38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/>
    <xf numFmtId="0" fontId="7" fillId="8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165" fontId="9" fillId="6" borderId="2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center" vertical="center" wrapText="1"/>
    </xf>
    <xf numFmtId="165" fontId="9" fillId="5" borderId="2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6" fontId="11" fillId="6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167" fontId="4" fillId="5" borderId="2" xfId="0" applyNumberFormat="1" applyFont="1" applyFill="1" applyBorder="1" applyAlignment="1">
      <alignment horizontal="center" vertical="center" wrapText="1"/>
    </xf>
    <xf numFmtId="168" fontId="4" fillId="5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7" fontId="4" fillId="6" borderId="2" xfId="0" applyNumberFormat="1" applyFont="1" applyFill="1" applyBorder="1" applyAlignment="1">
      <alignment horizontal="center" vertical="center" wrapText="1"/>
    </xf>
    <xf numFmtId="168" fontId="4" fillId="6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167" fontId="4" fillId="5" borderId="2" xfId="0" applyNumberFormat="1" applyFont="1" applyFill="1" applyBorder="1" applyAlignment="1">
      <alignment horizontal="right" vertical="center"/>
    </xf>
    <xf numFmtId="168" fontId="4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167" fontId="4" fillId="6" borderId="2" xfId="0" applyNumberFormat="1" applyFont="1" applyFill="1" applyBorder="1" applyAlignment="1">
      <alignment horizontal="right" vertical="center"/>
    </xf>
    <xf numFmtId="168" fontId="4" fillId="6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center" vertical="center" wrapText="1"/>
    </xf>
    <xf numFmtId="169" fontId="4" fillId="5" borderId="2" xfId="0" applyNumberFormat="1" applyFont="1" applyFill="1" applyBorder="1" applyAlignment="1">
      <alignment horizontal="center" vertical="center" wrapText="1"/>
    </xf>
    <xf numFmtId="165" fontId="4" fillId="6" borderId="2" xfId="0" applyNumberFormat="1" applyFont="1" applyFill="1" applyBorder="1" applyAlignment="1">
      <alignment horizontal="center" vertical="center" wrapText="1"/>
    </xf>
    <xf numFmtId="169" fontId="4" fillId="6" borderId="2" xfId="0" applyNumberFormat="1" applyFont="1" applyFill="1" applyBorder="1" applyAlignment="1">
      <alignment horizontal="center" vertical="center" wrapText="1"/>
    </xf>
    <xf numFmtId="169" fontId="9" fillId="6" borderId="2" xfId="0" applyNumberFormat="1" applyFont="1" applyFill="1" applyBorder="1" applyAlignment="1">
      <alignment horizontal="center" vertical="center" wrapText="1"/>
    </xf>
    <xf numFmtId="169" fontId="9" fillId="5" borderId="2" xfId="0" applyNumberFormat="1" applyFont="1" applyFill="1" applyBorder="1" applyAlignment="1">
      <alignment horizontal="center" vertical="center" wrapText="1"/>
    </xf>
    <xf numFmtId="0" fontId="0" fillId="12" borderId="0" xfId="0" applyFill="1" applyAlignment="1"/>
    <xf numFmtId="3" fontId="0" fillId="12" borderId="0" xfId="0" applyNumberFormat="1" applyFill="1" applyAlignment="1"/>
    <xf numFmtId="164" fontId="0" fillId="12" borderId="0" xfId="0" applyNumberFormat="1" applyFill="1" applyAlignment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164" fontId="14" fillId="7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3" fontId="14" fillId="9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3" fontId="14" fillId="7" borderId="3" xfId="0" applyNumberFormat="1" applyFont="1" applyFill="1" applyBorder="1" applyAlignment="1">
      <alignment horizontal="center" vertical="center" wrapText="1"/>
    </xf>
    <xf numFmtId="3" fontId="14" fillId="10" borderId="3" xfId="0" applyNumberFormat="1" applyFont="1" applyFill="1" applyBorder="1" applyAlignment="1">
      <alignment horizontal="center" vertical="center" wrapText="1"/>
    </xf>
    <xf numFmtId="165" fontId="14" fillId="3" borderId="3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169" fontId="14" fillId="8" borderId="3" xfId="0" applyNumberFormat="1" applyFont="1" applyFill="1" applyBorder="1" applyAlignment="1">
      <alignment horizontal="center" vertical="center" wrapText="1"/>
    </xf>
    <xf numFmtId="165" fontId="14" fillId="11" borderId="3" xfId="0" applyNumberFormat="1" applyFont="1" applyFill="1" applyBorder="1" applyAlignment="1">
      <alignment horizontal="center" vertical="center" wrapText="1"/>
    </xf>
    <xf numFmtId="165" fontId="14" fillId="7" borderId="3" xfId="0" applyNumberFormat="1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165" fontId="17" fillId="13" borderId="3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 wrapText="1"/>
    </xf>
    <xf numFmtId="164" fontId="17" fillId="3" borderId="3" xfId="0" applyNumberFormat="1" applyFont="1" applyFill="1" applyBorder="1" applyAlignment="1">
      <alignment horizontal="center" vertical="center" wrapText="1"/>
    </xf>
    <xf numFmtId="164" fontId="17" fillId="7" borderId="3" xfId="0" applyNumberFormat="1" applyFont="1" applyFill="1" applyBorder="1" applyAlignment="1">
      <alignment horizontal="center" vertical="center" wrapText="1"/>
    </xf>
    <xf numFmtId="3" fontId="17" fillId="9" borderId="3" xfId="0" applyNumberFormat="1" applyFont="1" applyFill="1" applyBorder="1" applyAlignment="1">
      <alignment horizontal="center" vertical="center" wrapText="1"/>
    </xf>
    <xf numFmtId="3" fontId="17" fillId="10" borderId="3" xfId="0" applyNumberFormat="1" applyFont="1" applyFill="1" applyBorder="1" applyAlignment="1">
      <alignment horizontal="center" vertical="center" wrapText="1"/>
    </xf>
    <xf numFmtId="0" fontId="0" fillId="13" borderId="3" xfId="0" applyFill="1" applyBorder="1" applyAlignment="1"/>
    <xf numFmtId="0" fontId="0" fillId="3" borderId="0" xfId="0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/>
    <xf numFmtId="0" fontId="0" fillId="3" borderId="3" xfId="0" applyFill="1" applyBorder="1" applyAlignment="1"/>
    <xf numFmtId="0" fontId="0" fillId="7" borderId="3" xfId="0" applyFill="1" applyBorder="1" applyAlignment="1"/>
    <xf numFmtId="0" fontId="0" fillId="9" borderId="3" xfId="0" applyFill="1" applyBorder="1" applyAlignment="1"/>
    <xf numFmtId="0" fontId="0" fillId="10" borderId="3" xfId="0" applyFill="1" applyBorder="1" applyAlignment="1"/>
  </cellXfs>
  <cellStyles count="1">
    <cellStyle name="Normal" xfId="0" builtinId="0"/>
  </cellStyles>
  <dxfs count="4"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E699"/>
      </font>
      <fill>
        <patternFill>
          <bgColor rgb="FF1F386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9F9F9"/>
      <rgbColor rgb="FFF0F4F8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9D9D9"/>
      <rgbColor rgb="FFFFE699"/>
      <rgbColor rgb="FF99CCFF"/>
      <rgbColor rgb="FFD09493"/>
      <rgbColor rgb="FFCC99FF"/>
      <rgbColor rgb="FFFFCC99"/>
      <rgbColor rgb="FF2E75B6"/>
      <rgbColor rgb="FF33CCCC"/>
      <rgbColor rgb="FF70AD47"/>
      <rgbColor rgb="FFFFCC00"/>
      <rgbColor rgb="FFFF9900"/>
      <rgbColor rgb="FFED7D31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Dashboard!B50</c:f>
              <c:strCache>
                <c:ptCount val="1"/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Dashboard!$A$51:$A$55</c:f>
              <c:strCache>
                <c:ptCount val="5"/>
                <c:pt idx="0">
                  <c:v>🏷️ Discount Approach</c:v>
                </c:pt>
                <c:pt idx="1">
                  <c:v>🌍 Regional Focus</c:v>
                </c:pt>
                <c:pt idx="2">
                  <c:v>📊 Product Insight</c:v>
                </c:pt>
                <c:pt idx="3">
                  <c:v>At Risk</c:v>
                </c:pt>
                <c:pt idx="4">
                  <c:v>General Customer</c:v>
                </c:pt>
              </c:strCache>
            </c:strRef>
          </c:cat>
          <c:val>
            <c:numRef>
              <c:f>Dashboard!$B$51:$B$55</c:f>
              <c:numCache>
                <c:formatCode>General</c:formatCode>
                <c:ptCount val="5"/>
                <c:pt idx="3" formatCode="#,##0">
                  <c:v>13</c:v>
                </c:pt>
                <c:pt idx="4" formatCode="#,##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F-464C-B3AE-0341402F1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49254"/>
        <c:axId val="6364349"/>
      </c:barChart>
      <c:catAx>
        <c:axId val="389492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4349"/>
        <c:crosses val="autoZero"/>
        <c:auto val="1"/>
        <c:lblAlgn val="ctr"/>
        <c:lblOffset val="100"/>
        <c:noMultiLvlLbl val="0"/>
      </c:catAx>
      <c:valAx>
        <c:axId val="63643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49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Dashboard!F50</c:f>
              <c:strCache>
                <c:ptCount val="1"/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Dashboard!$E$51:$E$54</c:f>
              <c:strCache>
                <c:ptCount val="4"/>
                <c:pt idx="3">
                  <c:v>West</c:v>
                </c:pt>
              </c:strCache>
            </c:strRef>
          </c:cat>
          <c:val>
            <c:numRef>
              <c:f>Dashboard!$F$51:$F$54</c:f>
              <c:numCache>
                <c:formatCode>General</c:formatCode>
                <c:ptCount val="4"/>
                <c:pt idx="3" formatCode="\₹#,##0">
                  <c:v>2457310.7000000007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B-B940-8018-38F13A90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01913"/>
        <c:axId val="28221714"/>
      </c:barChart>
      <c:catAx>
        <c:axId val="725019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21714"/>
        <c:crosses val="autoZero"/>
        <c:auto val="1"/>
        <c:lblAlgn val="ctr"/>
        <c:lblOffset val="100"/>
        <c:noMultiLvlLbl val="0"/>
      </c:catAx>
      <c:valAx>
        <c:axId val="28221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01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Dashboard!J50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Dashboard!$I$51:$I$58</c:f>
              <c:strCache>
                <c:ptCount val="8"/>
                <c:pt idx="3">
                  <c:v>Home &amp; Decor</c:v>
                </c:pt>
                <c:pt idx="4">
                  <c:v>Sports</c:v>
                </c:pt>
                <c:pt idx="5">
                  <c:v>Beauty</c:v>
                </c:pt>
                <c:pt idx="6">
                  <c:v>Books</c:v>
                </c:pt>
                <c:pt idx="7">
                  <c:v>Travel</c:v>
                </c:pt>
              </c:strCache>
            </c:strRef>
          </c:cat>
          <c:val>
            <c:numRef>
              <c:f>Dashboard!$J$51:$J$58</c:f>
              <c:numCache>
                <c:formatCode>General</c:formatCode>
                <c:ptCount val="8"/>
                <c:pt idx="3">
                  <c:v>19</c:v>
                </c:pt>
                <c:pt idx="4">
                  <c:v>14</c:v>
                </c:pt>
                <c:pt idx="5">
                  <c:v>19</c:v>
                </c:pt>
                <c:pt idx="6">
                  <c:v>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8-E441-890E-4406BD18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Frequency &amp; AOV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Dashboard!M50</c:f>
              <c:strCache>
                <c:ptCount val="1"/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Dashboard!$L$51:$L$55</c:f>
              <c:strCache>
                <c:ptCount val="5"/>
                <c:pt idx="3">
                  <c:v>At Risk</c:v>
                </c:pt>
                <c:pt idx="4">
                  <c:v>General Customer</c:v>
                </c:pt>
              </c:strCache>
            </c:strRef>
          </c:cat>
          <c:val>
            <c:numRef>
              <c:f>Dashboard!$M$51:$M$55</c:f>
              <c:numCache>
                <c:formatCode>General</c:formatCode>
                <c:ptCount val="5"/>
                <c:pt idx="3">
                  <c:v>2.3846153846153846</c:v>
                </c:pt>
                <c:pt idx="4">
                  <c:v>10.804347826086957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09-C746-90B3-64520A3FC3BC}"/>
            </c:ext>
          </c:extLst>
        </c:ser>
        <c:ser>
          <c:idx val="1"/>
          <c:order val="1"/>
          <c:tx>
            <c:strRef>
              <c:f>Dashboard!N50</c:f>
              <c:strCache>
                <c:ptCount val="1"/>
              </c:strCache>
            </c:strRef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Dashboard!$L$51:$L$55</c:f>
              <c:strCache>
                <c:ptCount val="5"/>
                <c:pt idx="3">
                  <c:v>At Risk</c:v>
                </c:pt>
                <c:pt idx="4">
                  <c:v>General Customer</c:v>
                </c:pt>
              </c:strCache>
            </c:strRef>
          </c:cat>
          <c:val>
            <c:numRef>
              <c:f>Dashboard!$N$51:$N$55</c:f>
              <c:numCache>
                <c:formatCode>General</c:formatCode>
                <c:ptCount val="5"/>
                <c:pt idx="3">
                  <c:v>2511.295384615385</c:v>
                </c:pt>
                <c:pt idx="4">
                  <c:v>3435.2495652173907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09-C746-90B3-64520A3F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181816"/>
        <c:axId val="10914117"/>
      </c:lineChart>
      <c:catAx>
        <c:axId val="97181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14117"/>
        <c:crosses val="autoZero"/>
        <c:auto val="1"/>
        <c:lblAlgn val="ctr"/>
        <c:lblOffset val="100"/>
        <c:noMultiLvlLbl val="0"/>
      </c:catAx>
      <c:valAx>
        <c:axId val="10914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818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659880</xdr:colOff>
      <xdr:row>26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659520</xdr:colOff>
      <xdr:row>26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9</xdr:row>
      <xdr:rowOff>0</xdr:rowOff>
    </xdr:from>
    <xdr:to>
      <xdr:col>20</xdr:col>
      <xdr:colOff>299880</xdr:colOff>
      <xdr:row>26</xdr:row>
      <xdr:rowOff>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500040</xdr:colOff>
      <xdr:row>45</xdr:row>
      <xdr:rowOff>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Normal="100" workbookViewId="0"/>
  </sheetViews>
  <sheetFormatPr defaultColWidth="8.7421875" defaultRowHeight="15" x14ac:dyDescent="0.2"/>
  <cols>
    <col min="1" max="1" width="9.953125" style="1" customWidth="1"/>
    <col min="2" max="2" width="22.05859375" style="1" customWidth="1"/>
    <col min="3" max="10" width="11.97265625" style="1" customWidth="1"/>
  </cols>
  <sheetData>
    <row r="1" spans="1:10" ht="31.5" customHeight="1" x14ac:dyDescent="0.2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ht="24" customHeight="1" x14ac:dyDescent="0.2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21.75" customHeight="1" x14ac:dyDescent="0.2">
      <c r="A4" s="56" t="s">
        <v>2</v>
      </c>
      <c r="B4" s="56"/>
      <c r="C4" s="57" t="s">
        <v>3</v>
      </c>
      <c r="D4" s="57"/>
      <c r="E4" s="57"/>
      <c r="F4" s="57"/>
      <c r="G4" s="57"/>
      <c r="H4" s="57"/>
      <c r="I4" s="57"/>
      <c r="J4" s="57"/>
    </row>
    <row r="5" spans="1:10" ht="21.75" customHeight="1" x14ac:dyDescent="0.2">
      <c r="A5" s="56" t="s">
        <v>4</v>
      </c>
      <c r="B5" s="56"/>
      <c r="C5" s="58" t="s">
        <v>5</v>
      </c>
      <c r="D5" s="58"/>
      <c r="E5" s="58"/>
      <c r="F5" s="58"/>
      <c r="G5" s="58"/>
      <c r="H5" s="58"/>
      <c r="I5" s="58"/>
      <c r="J5" s="58"/>
    </row>
    <row r="6" spans="1:10" ht="21.75" customHeight="1" x14ac:dyDescent="0.2">
      <c r="A6" s="56" t="s">
        <v>6</v>
      </c>
      <c r="B6" s="56"/>
      <c r="C6" s="57" t="s">
        <v>7</v>
      </c>
      <c r="D6" s="57"/>
      <c r="E6" s="57"/>
      <c r="F6" s="57"/>
      <c r="G6" s="57"/>
      <c r="H6" s="57"/>
      <c r="I6" s="57"/>
      <c r="J6" s="57"/>
    </row>
    <row r="7" spans="1:10" ht="21.75" customHeight="1" x14ac:dyDescent="0.2">
      <c r="A7" s="56" t="s">
        <v>8</v>
      </c>
      <c r="B7" s="56"/>
      <c r="C7" s="58" t="s">
        <v>9</v>
      </c>
      <c r="D7" s="58"/>
      <c r="E7" s="58"/>
      <c r="F7" s="58"/>
      <c r="G7" s="58"/>
      <c r="H7" s="58"/>
      <c r="I7" s="58"/>
      <c r="J7" s="58"/>
    </row>
    <row r="8" spans="1:10" ht="21.75" customHeight="1" x14ac:dyDescent="0.2">
      <c r="A8" s="56" t="s">
        <v>10</v>
      </c>
      <c r="B8" s="56"/>
      <c r="C8" s="57" t="s">
        <v>11</v>
      </c>
      <c r="D8" s="57"/>
      <c r="E8" s="57"/>
      <c r="F8" s="57"/>
      <c r="G8" s="57"/>
      <c r="H8" s="57"/>
      <c r="I8" s="57"/>
      <c r="J8" s="57"/>
    </row>
    <row r="9" spans="1:10" ht="21.75" customHeight="1" x14ac:dyDescent="0.2">
      <c r="A9" s="56" t="s">
        <v>12</v>
      </c>
      <c r="B9" s="56"/>
      <c r="C9" s="58" t="s">
        <v>13</v>
      </c>
      <c r="D9" s="58"/>
      <c r="E9" s="58"/>
      <c r="F9" s="58"/>
      <c r="G9" s="58"/>
      <c r="H9" s="58"/>
      <c r="I9" s="58"/>
      <c r="J9" s="58"/>
    </row>
    <row r="11" spans="1:10" ht="24" customHeight="1" x14ac:dyDescent="0.2">
      <c r="A11" s="55" t="s">
        <v>14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 ht="21.75" customHeight="1" x14ac:dyDescent="0.2">
      <c r="A12" s="56" t="s">
        <v>15</v>
      </c>
      <c r="B12" s="56"/>
      <c r="C12" s="57" t="s">
        <v>16</v>
      </c>
      <c r="D12" s="57"/>
      <c r="E12" s="57"/>
      <c r="F12" s="57"/>
      <c r="G12" s="57"/>
      <c r="H12" s="57"/>
      <c r="I12" s="57"/>
      <c r="J12" s="57"/>
    </row>
    <row r="13" spans="1:10" ht="21.75" customHeight="1" x14ac:dyDescent="0.2">
      <c r="A13" s="56" t="s">
        <v>17</v>
      </c>
      <c r="B13" s="56"/>
      <c r="C13" s="58" t="s">
        <v>18</v>
      </c>
      <c r="D13" s="58"/>
      <c r="E13" s="58"/>
      <c r="F13" s="58"/>
      <c r="G13" s="58"/>
      <c r="H13" s="58"/>
      <c r="I13" s="58"/>
      <c r="J13" s="58"/>
    </row>
    <row r="14" spans="1:10" ht="21.75" customHeight="1" x14ac:dyDescent="0.2">
      <c r="A14" s="56" t="s">
        <v>19</v>
      </c>
      <c r="B14" s="56"/>
      <c r="C14" s="57" t="s">
        <v>20</v>
      </c>
      <c r="D14" s="57"/>
      <c r="E14" s="57"/>
      <c r="F14" s="57"/>
      <c r="G14" s="57"/>
      <c r="H14" s="57"/>
      <c r="I14" s="57"/>
      <c r="J14" s="57"/>
    </row>
    <row r="15" spans="1:10" ht="21.75" customHeight="1" x14ac:dyDescent="0.2">
      <c r="A15" s="56" t="s">
        <v>21</v>
      </c>
      <c r="B15" s="56"/>
      <c r="C15" s="58" t="s">
        <v>22</v>
      </c>
      <c r="D15" s="58"/>
      <c r="E15" s="58"/>
      <c r="F15" s="58"/>
      <c r="G15" s="58"/>
      <c r="H15" s="58"/>
      <c r="I15" s="58"/>
      <c r="J15" s="58"/>
    </row>
    <row r="16" spans="1:10" ht="21.75" customHeight="1" x14ac:dyDescent="0.2">
      <c r="A16" s="56" t="s">
        <v>23</v>
      </c>
      <c r="B16" s="56"/>
      <c r="C16" s="57" t="s">
        <v>24</v>
      </c>
      <c r="D16" s="57"/>
      <c r="E16" s="57"/>
      <c r="F16" s="57"/>
      <c r="G16" s="57"/>
      <c r="H16" s="57"/>
      <c r="I16" s="57"/>
      <c r="J16" s="57"/>
    </row>
    <row r="17" spans="1:10" ht="21.75" customHeight="1" x14ac:dyDescent="0.2">
      <c r="A17" s="56" t="s">
        <v>25</v>
      </c>
      <c r="B17" s="56"/>
      <c r="C17" s="58" t="s">
        <v>26</v>
      </c>
      <c r="D17" s="58"/>
      <c r="E17" s="58"/>
      <c r="F17" s="58"/>
      <c r="G17" s="58"/>
      <c r="H17" s="58"/>
      <c r="I17" s="58"/>
      <c r="J17" s="58"/>
    </row>
    <row r="18" spans="1:10" ht="21.75" customHeight="1" x14ac:dyDescent="0.2">
      <c r="A18" s="56" t="s">
        <v>27</v>
      </c>
      <c r="B18" s="56"/>
      <c r="C18" s="57" t="s">
        <v>28</v>
      </c>
      <c r="D18" s="57"/>
      <c r="E18" s="57"/>
      <c r="F18" s="57"/>
      <c r="G18" s="57"/>
      <c r="H18" s="57"/>
      <c r="I18" s="57"/>
      <c r="J18" s="57"/>
    </row>
    <row r="20" spans="1:10" ht="24" customHeight="1" x14ac:dyDescent="0.2">
      <c r="A20" s="59" t="s">
        <v>29</v>
      </c>
      <c r="B20" s="59"/>
      <c r="C20" s="59"/>
      <c r="D20" s="59"/>
      <c r="E20" s="59"/>
      <c r="F20" s="59"/>
      <c r="G20" s="59"/>
      <c r="H20" s="59"/>
      <c r="I20" s="59"/>
      <c r="J20" s="59"/>
    </row>
    <row r="21" spans="1:10" ht="21.75" customHeight="1" x14ac:dyDescent="0.2">
      <c r="A21" s="56" t="s">
        <v>30</v>
      </c>
      <c r="B21" s="56"/>
      <c r="C21" s="58" t="s">
        <v>31</v>
      </c>
      <c r="D21" s="58"/>
      <c r="E21" s="58"/>
      <c r="F21" s="58"/>
      <c r="G21" s="58"/>
      <c r="H21" s="58"/>
      <c r="I21" s="58"/>
      <c r="J21" s="58"/>
    </row>
    <row r="22" spans="1:10" ht="21.75" customHeight="1" x14ac:dyDescent="0.2">
      <c r="A22" s="56" t="s">
        <v>32</v>
      </c>
      <c r="B22" s="56"/>
      <c r="C22" s="57" t="s">
        <v>33</v>
      </c>
      <c r="D22" s="57"/>
      <c r="E22" s="57"/>
      <c r="F22" s="57"/>
      <c r="G22" s="57"/>
      <c r="H22" s="57"/>
      <c r="I22" s="57"/>
      <c r="J22" s="57"/>
    </row>
    <row r="23" spans="1:10" ht="21.75" customHeight="1" x14ac:dyDescent="0.2">
      <c r="A23" s="56" t="s">
        <v>34</v>
      </c>
      <c r="B23" s="56"/>
      <c r="C23" s="58" t="s">
        <v>35</v>
      </c>
      <c r="D23" s="58"/>
      <c r="E23" s="58"/>
      <c r="F23" s="58"/>
      <c r="G23" s="58"/>
      <c r="H23" s="58"/>
      <c r="I23" s="58"/>
      <c r="J23" s="58"/>
    </row>
    <row r="24" spans="1:10" ht="21.75" customHeight="1" x14ac:dyDescent="0.2">
      <c r="A24" s="56" t="s">
        <v>36</v>
      </c>
      <c r="B24" s="56"/>
      <c r="C24" s="57" t="s">
        <v>37</v>
      </c>
      <c r="D24" s="57"/>
      <c r="E24" s="57"/>
      <c r="F24" s="57"/>
      <c r="G24" s="57"/>
      <c r="H24" s="57"/>
      <c r="I24" s="57"/>
      <c r="J24" s="57"/>
    </row>
    <row r="25" spans="1:10" ht="21.75" customHeight="1" x14ac:dyDescent="0.2">
      <c r="A25" s="56" t="s">
        <v>38</v>
      </c>
      <c r="B25" s="56"/>
      <c r="C25" s="58" t="s">
        <v>39</v>
      </c>
      <c r="D25" s="58"/>
      <c r="E25" s="58"/>
      <c r="F25" s="58"/>
      <c r="G25" s="58"/>
      <c r="H25" s="58"/>
      <c r="I25" s="58"/>
      <c r="J25" s="58"/>
    </row>
    <row r="26" spans="1:10" ht="21.75" customHeight="1" x14ac:dyDescent="0.2">
      <c r="A26" s="56" t="s">
        <v>40</v>
      </c>
      <c r="B26" s="56"/>
      <c r="C26" s="57" t="s">
        <v>41</v>
      </c>
      <c r="D26" s="57"/>
      <c r="E26" s="57"/>
      <c r="F26" s="57"/>
      <c r="G26" s="57"/>
      <c r="H26" s="57"/>
      <c r="I26" s="57"/>
      <c r="J26" s="57"/>
    </row>
    <row r="27" spans="1:10" ht="21.75" customHeight="1" x14ac:dyDescent="0.2">
      <c r="A27" s="56" t="s">
        <v>42</v>
      </c>
      <c r="B27" s="56"/>
      <c r="C27" s="58" t="s">
        <v>43</v>
      </c>
      <c r="D27" s="58"/>
      <c r="E27" s="58"/>
      <c r="F27" s="58"/>
      <c r="G27" s="58"/>
      <c r="H27" s="58"/>
      <c r="I27" s="58"/>
      <c r="J27" s="58"/>
    </row>
    <row r="28" spans="1:10" ht="21.75" customHeight="1" x14ac:dyDescent="0.2">
      <c r="A28" s="56" t="s">
        <v>44</v>
      </c>
      <c r="B28" s="56"/>
      <c r="C28" s="57" t="s">
        <v>45</v>
      </c>
      <c r="D28" s="57"/>
      <c r="E28" s="57"/>
      <c r="F28" s="57"/>
      <c r="G28" s="57"/>
      <c r="H28" s="57"/>
      <c r="I28" s="57"/>
      <c r="J28" s="57"/>
    </row>
    <row r="29" spans="1:10" ht="21.75" customHeight="1" x14ac:dyDescent="0.2">
      <c r="A29" s="56" t="s">
        <v>46</v>
      </c>
      <c r="B29" s="56"/>
      <c r="C29" s="58" t="s">
        <v>47</v>
      </c>
      <c r="D29" s="58"/>
      <c r="E29" s="58"/>
      <c r="F29" s="58"/>
      <c r="G29" s="58"/>
      <c r="H29" s="58"/>
      <c r="I29" s="58"/>
      <c r="J29" s="58"/>
    </row>
    <row r="30" spans="1:10" ht="21.75" customHeight="1" x14ac:dyDescent="0.2">
      <c r="A30" s="56" t="s">
        <v>48</v>
      </c>
      <c r="B30" s="56"/>
      <c r="C30" s="57" t="s">
        <v>49</v>
      </c>
      <c r="D30" s="57"/>
      <c r="E30" s="57"/>
      <c r="F30" s="57"/>
      <c r="G30" s="57"/>
      <c r="H30" s="57"/>
      <c r="I30" s="57"/>
      <c r="J30" s="57"/>
    </row>
    <row r="32" spans="1:10" ht="24" customHeight="1" x14ac:dyDescent="0.2">
      <c r="A32" s="60" t="s">
        <v>50</v>
      </c>
      <c r="B32" s="60"/>
      <c r="C32" s="60"/>
      <c r="D32" s="60"/>
      <c r="E32" s="60"/>
      <c r="F32" s="60"/>
      <c r="G32" s="60"/>
      <c r="H32" s="60"/>
      <c r="I32" s="60"/>
      <c r="J32" s="60"/>
    </row>
    <row r="33" spans="1:10" ht="21.75" customHeight="1" x14ac:dyDescent="0.2">
      <c r="A33" s="56" t="s">
        <v>51</v>
      </c>
      <c r="B33" s="56"/>
      <c r="C33" s="58" t="s">
        <v>52</v>
      </c>
      <c r="D33" s="58"/>
      <c r="E33" s="58"/>
      <c r="F33" s="58"/>
      <c r="G33" s="58"/>
      <c r="H33" s="58"/>
      <c r="I33" s="58"/>
      <c r="J33" s="58"/>
    </row>
    <row r="34" spans="1:10" ht="21.75" customHeight="1" x14ac:dyDescent="0.2">
      <c r="A34" s="56" t="s">
        <v>53</v>
      </c>
      <c r="B34" s="56"/>
      <c r="C34" s="57" t="s">
        <v>54</v>
      </c>
      <c r="D34" s="57"/>
      <c r="E34" s="57"/>
      <c r="F34" s="57"/>
      <c r="G34" s="57"/>
      <c r="H34" s="57"/>
      <c r="I34" s="57"/>
      <c r="J34" s="57"/>
    </row>
    <row r="35" spans="1:10" ht="21.75" customHeight="1" x14ac:dyDescent="0.2">
      <c r="A35" s="56" t="s">
        <v>55</v>
      </c>
      <c r="B35" s="56"/>
      <c r="C35" s="58" t="s">
        <v>56</v>
      </c>
      <c r="D35" s="58"/>
      <c r="E35" s="58"/>
      <c r="F35" s="58"/>
      <c r="G35" s="58"/>
      <c r="H35" s="58"/>
      <c r="I35" s="58"/>
      <c r="J35" s="58"/>
    </row>
    <row r="36" spans="1:10" ht="21.75" customHeight="1" x14ac:dyDescent="0.2">
      <c r="A36" s="56" t="s">
        <v>57</v>
      </c>
      <c r="B36" s="56"/>
      <c r="C36" s="57" t="s">
        <v>58</v>
      </c>
      <c r="D36" s="57"/>
      <c r="E36" s="57"/>
      <c r="F36" s="57"/>
      <c r="G36" s="57"/>
      <c r="H36" s="57"/>
      <c r="I36" s="57"/>
      <c r="J36" s="57"/>
    </row>
    <row r="37" spans="1:10" ht="21.75" customHeight="1" x14ac:dyDescent="0.2">
      <c r="A37" s="56" t="s">
        <v>59</v>
      </c>
      <c r="B37" s="56"/>
      <c r="C37" s="58" t="s">
        <v>60</v>
      </c>
      <c r="D37" s="58"/>
      <c r="E37" s="58"/>
      <c r="F37" s="58"/>
      <c r="G37" s="58"/>
      <c r="H37" s="58"/>
      <c r="I37" s="58"/>
      <c r="J37" s="58"/>
    </row>
    <row r="38" spans="1:10" ht="21.75" customHeight="1" x14ac:dyDescent="0.2">
      <c r="A38" s="56" t="s">
        <v>61</v>
      </c>
      <c r="B38" s="56"/>
      <c r="C38" s="57" t="s">
        <v>62</v>
      </c>
      <c r="D38" s="57"/>
      <c r="E38" s="57"/>
      <c r="F38" s="57"/>
      <c r="G38" s="57"/>
      <c r="H38" s="57"/>
      <c r="I38" s="57"/>
      <c r="J38" s="57"/>
    </row>
    <row r="39" spans="1:10" ht="21.75" customHeight="1" x14ac:dyDescent="0.2">
      <c r="A39" s="56" t="s">
        <v>63</v>
      </c>
      <c r="B39" s="56"/>
      <c r="C39" s="58" t="s">
        <v>64</v>
      </c>
      <c r="D39" s="58"/>
      <c r="E39" s="58"/>
      <c r="F39" s="58"/>
      <c r="G39" s="58"/>
      <c r="H39" s="58"/>
      <c r="I39" s="58"/>
      <c r="J39" s="58"/>
    </row>
    <row r="40" spans="1:10" ht="21.75" customHeight="1" x14ac:dyDescent="0.2">
      <c r="A40" s="56" t="s">
        <v>65</v>
      </c>
      <c r="B40" s="56"/>
      <c r="C40" s="57" t="s">
        <v>66</v>
      </c>
      <c r="D40" s="57"/>
      <c r="E40" s="57"/>
      <c r="F40" s="57"/>
      <c r="G40" s="57"/>
      <c r="H40" s="57"/>
      <c r="I40" s="57"/>
      <c r="J40" s="57"/>
    </row>
    <row r="41" spans="1:10" ht="21.75" customHeight="1" x14ac:dyDescent="0.2">
      <c r="A41" s="56" t="s">
        <v>67</v>
      </c>
      <c r="B41" s="56"/>
      <c r="C41" s="58" t="s">
        <v>68</v>
      </c>
      <c r="D41" s="58"/>
      <c r="E41" s="58"/>
      <c r="F41" s="58"/>
      <c r="G41" s="58"/>
      <c r="H41" s="58"/>
      <c r="I41" s="58"/>
      <c r="J41" s="58"/>
    </row>
    <row r="42" spans="1:10" ht="21.75" customHeight="1" x14ac:dyDescent="0.2">
      <c r="A42" s="56" t="s">
        <v>69</v>
      </c>
      <c r="B42" s="56"/>
      <c r="C42" s="57" t="s">
        <v>70</v>
      </c>
      <c r="D42" s="57"/>
      <c r="E42" s="57"/>
      <c r="F42" s="57"/>
      <c r="G42" s="57"/>
      <c r="H42" s="57"/>
      <c r="I42" s="57"/>
      <c r="J42" s="57"/>
    </row>
    <row r="44" spans="1:10" ht="24" customHeight="1" x14ac:dyDescent="0.2">
      <c r="A44" s="61" t="s">
        <v>71</v>
      </c>
      <c r="B44" s="61"/>
      <c r="C44" s="61"/>
      <c r="D44" s="61"/>
      <c r="E44" s="61"/>
      <c r="F44" s="61"/>
      <c r="G44" s="61"/>
      <c r="H44" s="61"/>
      <c r="I44" s="61"/>
      <c r="J44" s="61"/>
    </row>
    <row r="45" spans="1:10" ht="21.75" customHeight="1" x14ac:dyDescent="0.2">
      <c r="A45" s="56" t="s">
        <v>72</v>
      </c>
      <c r="B45" s="56"/>
      <c r="C45" s="58" t="s">
        <v>73</v>
      </c>
      <c r="D45" s="58"/>
      <c r="E45" s="58"/>
      <c r="F45" s="58"/>
      <c r="G45" s="58"/>
      <c r="H45" s="58"/>
      <c r="I45" s="58"/>
      <c r="J45" s="58"/>
    </row>
    <row r="46" spans="1:10" ht="21.75" customHeight="1" x14ac:dyDescent="0.2">
      <c r="A46" s="56" t="s">
        <v>74</v>
      </c>
      <c r="B46" s="56"/>
      <c r="C46" s="57" t="s">
        <v>75</v>
      </c>
      <c r="D46" s="57"/>
      <c r="E46" s="57"/>
      <c r="F46" s="57"/>
      <c r="G46" s="57"/>
      <c r="H46" s="57"/>
      <c r="I46" s="57"/>
      <c r="J46" s="57"/>
    </row>
    <row r="47" spans="1:10" ht="21.75" customHeight="1" x14ac:dyDescent="0.2">
      <c r="A47" s="56" t="s">
        <v>76</v>
      </c>
      <c r="B47" s="56"/>
      <c r="C47" s="58" t="s">
        <v>77</v>
      </c>
      <c r="D47" s="58"/>
      <c r="E47" s="58"/>
      <c r="F47" s="58"/>
      <c r="G47" s="58"/>
      <c r="H47" s="58"/>
      <c r="I47" s="58"/>
      <c r="J47" s="58"/>
    </row>
    <row r="48" spans="1:10" ht="21.75" customHeight="1" x14ac:dyDescent="0.2">
      <c r="A48" s="56" t="s">
        <v>78</v>
      </c>
      <c r="B48" s="56"/>
      <c r="C48" s="57" t="s">
        <v>79</v>
      </c>
      <c r="D48" s="57"/>
      <c r="E48" s="57"/>
      <c r="F48" s="57"/>
      <c r="G48" s="57"/>
      <c r="H48" s="57"/>
      <c r="I48" s="57"/>
      <c r="J48" s="57"/>
    </row>
    <row r="49" spans="1:10" ht="21.75" customHeight="1" x14ac:dyDescent="0.2">
      <c r="A49" s="56" t="s">
        <v>80</v>
      </c>
      <c r="B49" s="56"/>
      <c r="C49" s="58" t="s">
        <v>81</v>
      </c>
      <c r="D49" s="58"/>
      <c r="E49" s="58"/>
      <c r="F49" s="58"/>
      <c r="G49" s="58"/>
      <c r="H49" s="58"/>
      <c r="I49" s="58"/>
      <c r="J49" s="58"/>
    </row>
    <row r="50" spans="1:10" ht="21.75" customHeight="1" x14ac:dyDescent="0.2">
      <c r="A50" s="56" t="s">
        <v>82</v>
      </c>
      <c r="B50" s="56"/>
      <c r="C50" s="57" t="s">
        <v>83</v>
      </c>
      <c r="D50" s="57"/>
      <c r="E50" s="57"/>
      <c r="F50" s="57"/>
      <c r="G50" s="57"/>
      <c r="H50" s="57"/>
      <c r="I50" s="57"/>
      <c r="J50" s="57"/>
    </row>
  </sheetData>
  <mergeCells count="84">
    <mergeCell ref="A49:B49"/>
    <mergeCell ref="C49:J49"/>
    <mergeCell ref="A50:B50"/>
    <mergeCell ref="C50:J50"/>
    <mergeCell ref="A46:B46"/>
    <mergeCell ref="C46:J46"/>
    <mergeCell ref="A47:B47"/>
    <mergeCell ref="C47:J47"/>
    <mergeCell ref="A48:B48"/>
    <mergeCell ref="C48:J48"/>
    <mergeCell ref="A42:B42"/>
    <mergeCell ref="C42:J42"/>
    <mergeCell ref="A44:J44"/>
    <mergeCell ref="A45:B45"/>
    <mergeCell ref="C45:J45"/>
    <mergeCell ref="A39:B39"/>
    <mergeCell ref="C39:J39"/>
    <mergeCell ref="A40:B40"/>
    <mergeCell ref="C40:J40"/>
    <mergeCell ref="A41:B41"/>
    <mergeCell ref="C41:J41"/>
    <mergeCell ref="A36:B36"/>
    <mergeCell ref="C36:J36"/>
    <mergeCell ref="A37:B37"/>
    <mergeCell ref="C37:J37"/>
    <mergeCell ref="A38:B38"/>
    <mergeCell ref="C38:J38"/>
    <mergeCell ref="A33:B33"/>
    <mergeCell ref="C33:J33"/>
    <mergeCell ref="A34:B34"/>
    <mergeCell ref="C34:J34"/>
    <mergeCell ref="A35:B35"/>
    <mergeCell ref="C35:J35"/>
    <mergeCell ref="A29:B29"/>
    <mergeCell ref="C29:J29"/>
    <mergeCell ref="A30:B30"/>
    <mergeCell ref="C30:J30"/>
    <mergeCell ref="A32:J32"/>
    <mergeCell ref="A26:B26"/>
    <mergeCell ref="C26:J26"/>
    <mergeCell ref="A27:B27"/>
    <mergeCell ref="C27:J27"/>
    <mergeCell ref="A28:B28"/>
    <mergeCell ref="C28:J28"/>
    <mergeCell ref="A23:B23"/>
    <mergeCell ref="C23:J23"/>
    <mergeCell ref="A24:B24"/>
    <mergeCell ref="C24:J24"/>
    <mergeCell ref="A25:B25"/>
    <mergeCell ref="C25:J25"/>
    <mergeCell ref="A20:J20"/>
    <mergeCell ref="A21:B21"/>
    <mergeCell ref="C21:J21"/>
    <mergeCell ref="A22:B22"/>
    <mergeCell ref="C22:J22"/>
    <mergeCell ref="A16:B16"/>
    <mergeCell ref="C16:J16"/>
    <mergeCell ref="A17:B17"/>
    <mergeCell ref="C17:J17"/>
    <mergeCell ref="A18:B18"/>
    <mergeCell ref="C18:J18"/>
    <mergeCell ref="A13:B13"/>
    <mergeCell ref="C13:J13"/>
    <mergeCell ref="A14:B14"/>
    <mergeCell ref="C14:J14"/>
    <mergeCell ref="A15:B15"/>
    <mergeCell ref="C15:J15"/>
    <mergeCell ref="A9:B9"/>
    <mergeCell ref="C9:J9"/>
    <mergeCell ref="A11:J11"/>
    <mergeCell ref="A12:B12"/>
    <mergeCell ref="C12:J12"/>
    <mergeCell ref="A6:B6"/>
    <mergeCell ref="C6:J6"/>
    <mergeCell ref="A7:B7"/>
    <mergeCell ref="C7:J7"/>
    <mergeCell ref="A8:B8"/>
    <mergeCell ref="C8:J8"/>
    <mergeCell ref="A1:J1"/>
    <mergeCell ref="A3:J3"/>
    <mergeCell ref="A4:B4"/>
    <mergeCell ref="C4:J4"/>
    <mergeCell ref="A5:B5"/>
    <mergeCell ref="C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zoomScaleNormal="100" workbookViewId="0"/>
  </sheetViews>
  <sheetFormatPr defaultColWidth="8.7421875" defaultRowHeight="15" x14ac:dyDescent="0.2"/>
  <cols>
    <col min="1" max="1" width="22.05859375" style="1" customWidth="1"/>
    <col min="2" max="2" width="9.953125" style="1" customWidth="1"/>
    <col min="3" max="3" width="11.97265625" style="1" customWidth="1"/>
    <col min="4" max="5" width="18.0234375" style="1" customWidth="1"/>
    <col min="6" max="6" width="9.953125" style="1" customWidth="1"/>
    <col min="7" max="7" width="23.9453125" style="1" customWidth="1"/>
    <col min="8" max="8" width="11.97265625" style="1" customWidth="1"/>
    <col min="9" max="9" width="13.98828125" style="1" customWidth="1"/>
    <col min="10" max="10" width="16.0078125" style="1" customWidth="1"/>
    <col min="11" max="11" width="13.98828125" style="1" customWidth="1"/>
  </cols>
  <sheetData>
    <row r="1" spans="1:16" ht="30" customHeight="1" x14ac:dyDescent="0.2">
      <c r="A1" s="63" t="s">
        <v>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3" spans="1:16" ht="21.75" customHeight="1" x14ac:dyDescent="0.2">
      <c r="A3" s="62" t="s">
        <v>85</v>
      </c>
      <c r="B3" s="62"/>
      <c r="C3" s="62"/>
      <c r="D3" s="62"/>
      <c r="F3" s="62" t="s">
        <v>86</v>
      </c>
      <c r="G3" s="62"/>
      <c r="H3" s="62"/>
      <c r="I3" s="62"/>
      <c r="J3" s="62"/>
      <c r="K3" s="62"/>
    </row>
    <row r="4" spans="1:16" ht="21.75" customHeight="1" x14ac:dyDescent="0.2">
      <c r="A4" s="2" t="s">
        <v>87</v>
      </c>
      <c r="B4" s="2" t="s">
        <v>88</v>
      </c>
      <c r="C4" s="2" t="s">
        <v>89</v>
      </c>
      <c r="D4" s="2" t="s">
        <v>90</v>
      </c>
      <c r="F4" s="2" t="s">
        <v>91</v>
      </c>
      <c r="G4" s="2" t="s">
        <v>92</v>
      </c>
      <c r="H4" s="2" t="s">
        <v>93</v>
      </c>
      <c r="I4" s="2" t="s">
        <v>94</v>
      </c>
      <c r="J4" s="2" t="s">
        <v>95</v>
      </c>
      <c r="K4" s="2" t="s">
        <v>96</v>
      </c>
    </row>
    <row r="5" spans="1:16" ht="15" customHeight="1" x14ac:dyDescent="0.2">
      <c r="A5" s="3" t="s">
        <v>92</v>
      </c>
      <c r="B5" s="4">
        <f ca="1">COUNTIFS('Raw Data'!R4:R123,"Premium Customer")</f>
        <v>5</v>
      </c>
      <c r="C5" s="5">
        <f ca="1">SUMIFS('Raw Data'!K4:K123,'Raw Data'!R4:R123,"Premium Customer")</f>
        <v>696035.32</v>
      </c>
      <c r="D5" s="6">
        <f ca="1">IFERROR(C5/SUM(C5:C9),0)</f>
        <v>9.8733127325768805E-2</v>
      </c>
      <c r="F5" s="3" t="s">
        <v>97</v>
      </c>
      <c r="G5" s="7">
        <f ca="1">COUNTIFS('Raw Data'!E4:E123,"North",'Raw Data'!R4:R123,"Premium Customer")</f>
        <v>0</v>
      </c>
      <c r="H5" s="7">
        <f ca="1">COUNTIFS('Raw Data'!E4:E123,"North",'Raw Data'!R4:R123,"Loyal Customer")</f>
        <v>21</v>
      </c>
      <c r="I5" s="7">
        <f ca="1">COUNTIFS('Raw Data'!E4:E123,"North",'Raw Data'!R4:R123,"Bargain Seeker")</f>
        <v>2</v>
      </c>
      <c r="J5" s="7">
        <f ca="1">COUNTIFS('Raw Data'!E4:E123,"North",'Raw Data'!R4:R123,"At Risk")</f>
        <v>2</v>
      </c>
      <c r="K5" s="7">
        <f ca="1">COUNTIFS('Raw Data'!E4:E123,"North",'Raw Data'!R4:R123,"General Customer")</f>
        <v>14</v>
      </c>
    </row>
    <row r="6" spans="1:16" ht="15" customHeight="1" x14ac:dyDescent="0.2">
      <c r="A6" s="8" t="s">
        <v>93</v>
      </c>
      <c r="B6" s="9">
        <f ca="1">COUNTIFS('Raw Data'!R4:R123,"Loyal Customer")</f>
        <v>51</v>
      </c>
      <c r="C6" s="10">
        <f ca="1">SUMIFS('Raw Data'!K4:K123,'Raw Data'!R4:R123,"Loyal Customer")</f>
        <v>4819813.7200000007</v>
      </c>
      <c r="D6" s="11">
        <f ca="1">IFERROR(C6/SUM(C5:C9),0)</f>
        <v>0.68369415750805218</v>
      </c>
      <c r="F6" s="8" t="s">
        <v>98</v>
      </c>
      <c r="G6" s="12">
        <f ca="1">COUNTIFS('Raw Data'!E4:E123,"South",'Raw Data'!R4:R123,"Premium Customer")</f>
        <v>0</v>
      </c>
      <c r="H6" s="12">
        <f ca="1">COUNTIFS('Raw Data'!E4:E123,"South",'Raw Data'!R4:R123,"Loyal Customer")</f>
        <v>13</v>
      </c>
      <c r="I6" s="12">
        <f ca="1">COUNTIFS('Raw Data'!E4:E123,"South",'Raw Data'!R4:R123,"Bargain Seeker")</f>
        <v>0</v>
      </c>
      <c r="J6" s="12">
        <f ca="1">COUNTIFS('Raw Data'!E4:E123,"South",'Raw Data'!R4:R123,"At Risk")</f>
        <v>5</v>
      </c>
      <c r="K6" s="12">
        <f ca="1">COUNTIFS('Raw Data'!E4:E123,"South",'Raw Data'!R4:R123,"General Customer")</f>
        <v>14</v>
      </c>
    </row>
    <row r="7" spans="1:16" ht="15" customHeight="1" x14ac:dyDescent="0.2">
      <c r="A7" s="3" t="s">
        <v>94</v>
      </c>
      <c r="B7" s="4">
        <f ca="1">COUNTIFS('Raw Data'!R4:R123,"Bargain Seeker")</f>
        <v>5</v>
      </c>
      <c r="C7" s="5">
        <f ca="1">SUMIFS('Raw Data'!K4:K123,'Raw Data'!R4:R123,"Bargain Seeker")</f>
        <v>43674.76</v>
      </c>
      <c r="D7" s="6">
        <f ca="1">IFERROR(C7/SUM(C5:C9),0)</f>
        <v>6.1952971581993779E-3</v>
      </c>
      <c r="F7" s="3" t="s">
        <v>99</v>
      </c>
      <c r="G7" s="7">
        <f ca="1">COUNTIFS('Raw Data'!E4:E123,"East",'Raw Data'!R4:R123,"Premium Customer")</f>
        <v>1</v>
      </c>
      <c r="H7" s="7">
        <f ca="1">COUNTIFS('Raw Data'!E4:E123,"East",'Raw Data'!R4:R123,"Loyal Customer")</f>
        <v>2</v>
      </c>
      <c r="I7" s="7">
        <f ca="1">COUNTIFS('Raw Data'!E4:E123,"East",'Raw Data'!R4:R123,"Bargain Seeker")</f>
        <v>2</v>
      </c>
      <c r="J7" s="7">
        <f ca="1">COUNTIFS('Raw Data'!E4:E123,"East",'Raw Data'!R4:R123,"At Risk")</f>
        <v>3</v>
      </c>
      <c r="K7" s="7">
        <f ca="1">COUNTIFS('Raw Data'!E4:E123,"East",'Raw Data'!R4:R123,"General Customer")</f>
        <v>3</v>
      </c>
    </row>
    <row r="8" spans="1:16" ht="15" customHeight="1" x14ac:dyDescent="0.2">
      <c r="A8" s="8" t="s">
        <v>95</v>
      </c>
      <c r="B8" s="9">
        <f ca="1">COUNTIFS('Raw Data'!R4:R123,"At Risk")</f>
        <v>13</v>
      </c>
      <c r="C8" s="10">
        <f ca="1">SUMIFS('Raw Data'!K4:K123,'Raw Data'!R4:R123,"At Risk")</f>
        <v>73530.25</v>
      </c>
      <c r="D8" s="11">
        <f ca="1">IFERROR(C8/SUM(C5:C9),0)</f>
        <v>1.0430320598594929E-2</v>
      </c>
      <c r="F8" s="8" t="s">
        <v>100</v>
      </c>
      <c r="G8" s="12">
        <f ca="1">COUNTIFS('Raw Data'!E4:E123,"West",'Raw Data'!R4:R123,"Premium Customer")</f>
        <v>4</v>
      </c>
      <c r="H8" s="12">
        <f ca="1">COUNTIFS('Raw Data'!E4:E123,"West",'Raw Data'!R4:R123,"Loyal Customer")</f>
        <v>15</v>
      </c>
      <c r="I8" s="12">
        <f ca="1">COUNTIFS('Raw Data'!E4:E123,"West",'Raw Data'!R4:R123,"Bargain Seeker")</f>
        <v>1</v>
      </c>
      <c r="J8" s="12">
        <f ca="1">COUNTIFS('Raw Data'!E4:E123,"West",'Raw Data'!R4:R123,"At Risk")</f>
        <v>3</v>
      </c>
      <c r="K8" s="12">
        <f ca="1">COUNTIFS('Raw Data'!E4:E123,"West",'Raw Data'!R4:R123,"General Customer")</f>
        <v>15</v>
      </c>
    </row>
    <row r="9" spans="1:16" ht="15" customHeight="1" x14ac:dyDescent="0.2">
      <c r="A9" s="3" t="s">
        <v>96</v>
      </c>
      <c r="B9" s="4">
        <f ca="1">COUNTIFS('Raw Data'!R4:R123,"General Customer")</f>
        <v>46</v>
      </c>
      <c r="C9" s="5">
        <f ca="1">SUMIFS('Raw Data'!K4:K123,'Raw Data'!R4:R123,"General Customer")</f>
        <v>1416609.41</v>
      </c>
      <c r="D9" s="6">
        <f ca="1">IFERROR(C9/SUM(C5:C9),0)</f>
        <v>0.20094709740938466</v>
      </c>
      <c r="F9" s="3" t="s">
        <v>101</v>
      </c>
      <c r="G9" s="7">
        <f ca="1">COUNTIFS('Raw Data'!R4:R123,"Premium Customer")</f>
        <v>5</v>
      </c>
      <c r="H9" s="7">
        <f ca="1">COUNTIFS('Raw Data'!R4:R123,"Loyal Customer")</f>
        <v>51</v>
      </c>
      <c r="I9" s="7">
        <f ca="1">COUNTIFS('Raw Data'!R4:R123,"Bargain Seeker")</f>
        <v>5</v>
      </c>
      <c r="J9" s="7">
        <f ca="1">COUNTIFS('Raw Data'!R4:R123,"At Risk")</f>
        <v>13</v>
      </c>
      <c r="K9" s="7">
        <f ca="1">COUNTIFS('Raw Data'!R4:R123,"General Customer")</f>
        <v>46</v>
      </c>
    </row>
    <row r="10" spans="1:16" ht="15" customHeight="1" x14ac:dyDescent="0.2">
      <c r="A10" s="13" t="s">
        <v>102</v>
      </c>
      <c r="B10" s="14">
        <f ca="1">SUM(B5:B9)</f>
        <v>120</v>
      </c>
      <c r="C10" s="15">
        <f ca="1">SUM(C5:C9)</f>
        <v>7049663.4600000009</v>
      </c>
      <c r="D10" s="16">
        <f ca="1">SUM(D5:D9)</f>
        <v>0.99999999999999989</v>
      </c>
    </row>
    <row r="13" spans="1:16" ht="21.75" customHeight="1" x14ac:dyDescent="0.2">
      <c r="A13" s="62" t="s">
        <v>103</v>
      </c>
      <c r="B13" s="62"/>
      <c r="C13" s="62"/>
      <c r="D13" s="62"/>
      <c r="F13" s="62" t="s">
        <v>104</v>
      </c>
      <c r="G13" s="62"/>
      <c r="H13" s="62"/>
      <c r="I13" s="62"/>
      <c r="J13" s="62"/>
    </row>
    <row r="14" spans="1:16" ht="15" customHeight="1" x14ac:dyDescent="0.2">
      <c r="A14" s="2" t="s">
        <v>105</v>
      </c>
      <c r="B14" s="2" t="s">
        <v>106</v>
      </c>
      <c r="C14" s="2" t="s">
        <v>107</v>
      </c>
      <c r="D14" s="2" t="s">
        <v>108</v>
      </c>
      <c r="F14" s="2" t="s">
        <v>109</v>
      </c>
      <c r="G14" s="2" t="s">
        <v>110</v>
      </c>
      <c r="H14" s="2" t="s">
        <v>88</v>
      </c>
      <c r="I14" s="2" t="s">
        <v>89</v>
      </c>
      <c r="J14" s="2" t="s">
        <v>111</v>
      </c>
    </row>
    <row r="15" spans="1:16" ht="15" customHeight="1" x14ac:dyDescent="0.2">
      <c r="A15" s="3" t="s">
        <v>112</v>
      </c>
      <c r="B15" s="4">
        <f>COUNTIFS('Raw Data'!L4:L123,"Electronics")</f>
        <v>13</v>
      </c>
      <c r="C15" s="5">
        <f>IFERROR(AVERAGEIFS('Raw Data'!K4:K123,'Raw Data'!L4:L123,"Electronics"),0)</f>
        <v>62804.023846153839</v>
      </c>
      <c r="D15" s="6">
        <f>IFERROR(COUNTIFS('Raw Data'!L4:L123,"Electronics")/COUNTA('Raw Data'!A4:A123),0)</f>
        <v>0.10833333333333334</v>
      </c>
      <c r="F15" s="17" t="s">
        <v>113</v>
      </c>
      <c r="G15" s="17" t="s">
        <v>114</v>
      </c>
      <c r="H15" s="7">
        <f>COUNTIFS('Raw Data'!M4:M123,"Online",'Raw Data'!N4:N123,"New")</f>
        <v>23</v>
      </c>
      <c r="I15" s="18">
        <f>SUMIFS('Raw Data'!K4:K123,'Raw Data'!M4:M123,"Online",'Raw Data'!N4:N123,"New")</f>
        <v>1508209.4200000002</v>
      </c>
      <c r="J15" s="18">
        <f>IFERROR(AVERAGEIFS('Raw Data'!J4:J123,'Raw Data'!M4:M123,"Online",'Raw Data'!N4:N123,"New"),0)</f>
        <v>4014.0034782608691</v>
      </c>
    </row>
    <row r="16" spans="1:16" ht="15" customHeight="1" x14ac:dyDescent="0.2">
      <c r="A16" s="8" t="s">
        <v>115</v>
      </c>
      <c r="B16" s="9">
        <f>COUNTIFS('Raw Data'!L4:L123,"Fashion")</f>
        <v>23</v>
      </c>
      <c r="C16" s="10">
        <f>IFERROR(AVERAGEIFS('Raw Data'!K4:K123,'Raw Data'!L4:L123,"Fashion"),0)</f>
        <v>57566.244347826083</v>
      </c>
      <c r="D16" s="11">
        <f>IFERROR(COUNTIFS('Raw Data'!L4:L123,"Fashion")/COUNTA('Raw Data'!A4:A123),0)</f>
        <v>0.19166666666666668</v>
      </c>
      <c r="F16" s="19" t="s">
        <v>113</v>
      </c>
      <c r="G16" s="19" t="s">
        <v>116</v>
      </c>
      <c r="H16" s="12">
        <f>COUNTIFS('Raw Data'!M4:M123,"Online",'Raw Data'!N4:N123,"Returning")</f>
        <v>40</v>
      </c>
      <c r="I16" s="20">
        <f>SUMIFS('Raw Data'!K4:K123,'Raw Data'!M4:M123,"Online",'Raw Data'!N4:N123,"Returning")</f>
        <v>2472188.5500000003</v>
      </c>
      <c r="J16" s="20">
        <f>IFERROR(AVERAGEIFS('Raw Data'!J4:J123,'Raw Data'!M4:M123,"Online",'Raw Data'!N4:N123,"Returning"),0)</f>
        <v>4263.9604999999992</v>
      </c>
    </row>
    <row r="17" spans="1:10" ht="15" customHeight="1" x14ac:dyDescent="0.2">
      <c r="A17" s="3" t="s">
        <v>117</v>
      </c>
      <c r="B17" s="4">
        <f>COUNTIFS('Raw Data'!L4:L123,"Grocery")</f>
        <v>14</v>
      </c>
      <c r="C17" s="5">
        <f>IFERROR(AVERAGEIFS('Raw Data'!K4:K123,'Raw Data'!L4:L123,"Grocery"),0)</f>
        <v>67784.967142857146</v>
      </c>
      <c r="D17" s="6">
        <f>IFERROR(COUNTIFS('Raw Data'!L4:L123,"Grocery")/COUNTA('Raw Data'!A4:A123),0)</f>
        <v>0.11666666666666667</v>
      </c>
      <c r="F17" s="17" t="s">
        <v>118</v>
      </c>
      <c r="G17" s="17" t="s">
        <v>114</v>
      </c>
      <c r="H17" s="7">
        <f>COUNTIFS('Raw Data'!M4:M123,"Offline",'Raw Data'!N4:N123,"New")</f>
        <v>16</v>
      </c>
      <c r="I17" s="18">
        <f>SUMIFS('Raw Data'!K4:K123,'Raw Data'!M4:M123,"Offline",'Raw Data'!N4:N123,"New")</f>
        <v>691752.72000000009</v>
      </c>
      <c r="J17" s="18">
        <f>IFERROR(AVERAGEIFS('Raw Data'!J4:J123,'Raw Data'!M4:M123,"Offline",'Raw Data'!N4:N123,"New"),0)</f>
        <v>3750.4175</v>
      </c>
    </row>
    <row r="18" spans="1:10" ht="15" customHeight="1" x14ac:dyDescent="0.2">
      <c r="A18" s="8" t="s">
        <v>119</v>
      </c>
      <c r="B18" s="9">
        <f>COUNTIFS('Raw Data'!L4:L123,"Home &amp; Decor")</f>
        <v>19</v>
      </c>
      <c r="C18" s="10">
        <f>IFERROR(AVERAGEIFS('Raw Data'!K4:K123,'Raw Data'!L4:L123,"Home &amp; Decor"),0)</f>
        <v>55945.19578947367</v>
      </c>
      <c r="D18" s="11">
        <f>IFERROR(COUNTIFS('Raw Data'!L4:L123,"Home &amp; Decor")/COUNTA('Raw Data'!A4:A123),0)</f>
        <v>0.15833333333333333</v>
      </c>
      <c r="F18" s="19" t="s">
        <v>118</v>
      </c>
      <c r="G18" s="19" t="s">
        <v>116</v>
      </c>
      <c r="H18" s="12">
        <f>COUNTIFS('Raw Data'!M4:M123,"Offline",'Raw Data'!N4:N123,"Returning")</f>
        <v>41</v>
      </c>
      <c r="I18" s="20">
        <f>SUMIFS('Raw Data'!K4:K123,'Raw Data'!M4:M123,"Offline",'Raw Data'!N4:N123,"Returning")</f>
        <v>2377512.7699999991</v>
      </c>
      <c r="J18" s="20">
        <f>IFERROR(AVERAGEIFS('Raw Data'!J4:J123,'Raw Data'!M4:M123,"Offline",'Raw Data'!N4:N123,"Returning"),0)</f>
        <v>4103.1339024390245</v>
      </c>
    </row>
    <row r="19" spans="1:10" ht="15" customHeight="1" x14ac:dyDescent="0.2">
      <c r="A19" s="3" t="s">
        <v>120</v>
      </c>
      <c r="B19" s="4">
        <f>COUNTIFS('Raw Data'!L4:L123,"Sports")</f>
        <v>14</v>
      </c>
      <c r="C19" s="5">
        <f>IFERROR(AVERAGEIFS('Raw Data'!K4:K123,'Raw Data'!L4:L123,"Sports"),0)</f>
        <v>54011.792857142857</v>
      </c>
      <c r="D19" s="6">
        <f>IFERROR(COUNTIFS('Raw Data'!L4:L123,"Sports")/COUNTA('Raw Data'!A4:A123),0)</f>
        <v>0.11666666666666667</v>
      </c>
    </row>
    <row r="20" spans="1:10" ht="15" customHeight="1" x14ac:dyDescent="0.2">
      <c r="A20" s="8" t="s">
        <v>121</v>
      </c>
      <c r="B20" s="9">
        <f>COUNTIFS('Raw Data'!L4:L123,"Beauty")</f>
        <v>19</v>
      </c>
      <c r="C20" s="10">
        <f>IFERROR(AVERAGEIFS('Raw Data'!K4:K123,'Raw Data'!L4:L123,"Beauty"),0)</f>
        <v>54464.350526315793</v>
      </c>
      <c r="D20" s="11">
        <f>IFERROR(COUNTIFS('Raw Data'!L4:L123,"Beauty")/COUNTA('Raw Data'!A4:A123),0)</f>
        <v>0.15833333333333333</v>
      </c>
    </row>
    <row r="21" spans="1:10" ht="15" customHeight="1" x14ac:dyDescent="0.2">
      <c r="A21" s="3" t="s">
        <v>122</v>
      </c>
      <c r="B21" s="4">
        <f>COUNTIFS('Raw Data'!L4:L123,"Books")</f>
        <v>8</v>
      </c>
      <c r="C21" s="5">
        <f>IFERROR(AVERAGEIFS('Raw Data'!K4:K123,'Raw Data'!L4:L123,"Books"),0)</f>
        <v>82211.152499999997</v>
      </c>
      <c r="D21" s="6">
        <f>IFERROR(COUNTIFS('Raw Data'!L4:L123,"Books")/COUNTA('Raw Data'!A4:A123),0)</f>
        <v>6.6666666666666666E-2</v>
      </c>
    </row>
    <row r="22" spans="1:10" ht="15" customHeight="1" x14ac:dyDescent="0.2">
      <c r="A22" s="8" t="s">
        <v>123</v>
      </c>
      <c r="B22" s="9">
        <f>COUNTIFS('Raw Data'!L4:L123,"Travel")</f>
        <v>10</v>
      </c>
      <c r="C22" s="10">
        <f>IFERROR(AVERAGEIFS('Raw Data'!K4:K123,'Raw Data'!L4:L123,"Travel"),0)</f>
        <v>44856.228999999999</v>
      </c>
      <c r="D22" s="11">
        <f>IFERROR(COUNTIFS('Raw Data'!L4:L123,"Travel")/COUNTA('Raw Data'!A4:A123),0)</f>
        <v>8.3333333333333329E-2</v>
      </c>
    </row>
    <row r="26" spans="1:10" ht="21.75" customHeight="1" x14ac:dyDescent="0.2">
      <c r="A26" s="62" t="s">
        <v>124</v>
      </c>
      <c r="B26" s="62"/>
      <c r="C26" s="62"/>
      <c r="D26" s="62"/>
      <c r="E26" s="62"/>
    </row>
    <row r="27" spans="1:10" ht="15" customHeight="1" x14ac:dyDescent="0.2">
      <c r="A27" s="2" t="s">
        <v>125</v>
      </c>
      <c r="B27" s="2" t="s">
        <v>88</v>
      </c>
      <c r="C27" s="2" t="s">
        <v>107</v>
      </c>
      <c r="D27" s="2" t="s">
        <v>111</v>
      </c>
      <c r="E27" s="2" t="s">
        <v>126</v>
      </c>
    </row>
    <row r="28" spans="1:10" ht="15" customHeight="1" x14ac:dyDescent="0.2">
      <c r="A28" s="19" t="s">
        <v>127</v>
      </c>
      <c r="B28" s="12">
        <f>COUNTIFS('Raw Data'!B4:B123,"&gt;=18",'Raw Data'!B4:B123,"&lt;=24")</f>
        <v>17</v>
      </c>
      <c r="C28" s="20">
        <f>IFERROR(AVERAGEIFS('Raw Data'!K4:K123,'Raw Data'!B4:B123,"&gt;=18",'Raw Data'!B4:B123,"&lt;=24"),0)</f>
        <v>42539.876470588228</v>
      </c>
      <c r="D28" s="20">
        <f>IFERROR(AVERAGEIFS('Raw Data'!J4:J123,'Raw Data'!B4:B123,"&gt;=18",'Raw Data'!B4:B123,"&lt;=24"),0)</f>
        <v>3618.8511764705877</v>
      </c>
      <c r="E28" s="19" t="str">
        <f>IFERROR(IF(COUNTIFS('Raw Data'!M4:M123,"Online",'Raw Data'!B4:B123,"&gt;=18",'Raw Data'!B4:B123,"&lt;=24")&gt;COUNTIFS('Raw Data'!M4:M123,"Offline",'Raw Data'!B4:B123,"&gt;=18",'Raw Data'!B4:B123,"&lt;=24"),"Online","Offline"),"N/A")</f>
        <v>Online</v>
      </c>
    </row>
    <row r="29" spans="1:10" ht="15" customHeight="1" x14ac:dyDescent="0.2">
      <c r="A29" s="17" t="s">
        <v>128</v>
      </c>
      <c r="B29" s="7">
        <f>COUNTIFS('Raw Data'!B4:B123,"&gt;=25",'Raw Data'!B4:B123,"&lt;=34")</f>
        <v>25</v>
      </c>
      <c r="C29" s="18">
        <f>IFERROR(AVERAGEIFS('Raw Data'!K4:K123,'Raw Data'!B4:B123,"&gt;=25",'Raw Data'!B4:B123,"&lt;=34"),0)</f>
        <v>59352.316399999996</v>
      </c>
      <c r="D29" s="18">
        <f>IFERROR(AVERAGEIFS('Raw Data'!J4:J123,'Raw Data'!B4:B123,"&gt;=25",'Raw Data'!B4:B123,"&lt;=34"),0)</f>
        <v>4096.0219999999981</v>
      </c>
      <c r="E29" s="17" t="str">
        <f>IFERROR(IF(COUNTIFS('Raw Data'!M4:M123,"Online",'Raw Data'!B4:B123,"&gt;=25",'Raw Data'!B4:B123,"&lt;=34")&gt;COUNTIFS('Raw Data'!M4:M123,"Offline",'Raw Data'!B4:B123,"&gt;=25",'Raw Data'!B4:B123,"&lt;=34"),"Online","Offline"),"N/A")</f>
        <v>Offline</v>
      </c>
    </row>
    <row r="30" spans="1:10" ht="15" customHeight="1" x14ac:dyDescent="0.2">
      <c r="A30" s="19" t="s">
        <v>129</v>
      </c>
      <c r="B30" s="12">
        <f>COUNTIFS('Raw Data'!B4:B123,"&gt;=35",'Raw Data'!B4:B123,"&lt;=44")</f>
        <v>30</v>
      </c>
      <c r="C30" s="20">
        <f>IFERROR(AVERAGEIFS('Raw Data'!K4:K123,'Raw Data'!B4:B123,"&gt;=35",'Raw Data'!B4:B123,"&lt;=44"),0)</f>
        <v>65138.035333333326</v>
      </c>
      <c r="D30" s="20">
        <f>IFERROR(AVERAGEIFS('Raw Data'!J4:J123,'Raw Data'!B4:B123,"&gt;=35",'Raw Data'!B4:B123,"&lt;=44"),0)</f>
        <v>4491.1706666666678</v>
      </c>
      <c r="E30" s="19" t="str">
        <f>IFERROR(IF(COUNTIFS('Raw Data'!M4:M123,"Online",'Raw Data'!B4:B123,"&gt;=35",'Raw Data'!B4:B123,"&lt;=44")&gt;COUNTIFS('Raw Data'!M4:M123,"Offline",'Raw Data'!B4:B123,"&gt;=35",'Raw Data'!B4:B123,"&lt;=44"),"Online","Offline"),"N/A")</f>
        <v>Online</v>
      </c>
    </row>
    <row r="31" spans="1:10" ht="15" customHeight="1" x14ac:dyDescent="0.2">
      <c r="A31" s="17" t="s">
        <v>130</v>
      </c>
      <c r="B31" s="7">
        <f>COUNTIFS('Raw Data'!B4:B123,"&gt;=45",'Raw Data'!B4:B123,"&lt;=54")</f>
        <v>18</v>
      </c>
      <c r="C31" s="18">
        <f>IFERROR(AVERAGEIFS('Raw Data'!K4:K123,'Raw Data'!B4:B123,"&gt;=45",'Raw Data'!B4:B123,"&lt;=54"),0)</f>
        <v>65194.793888888889</v>
      </c>
      <c r="D31" s="18">
        <f>IFERROR(AVERAGEIFS('Raw Data'!J4:J123,'Raw Data'!B4:B123,"&gt;=45",'Raw Data'!B4:B123,"&lt;=54"),0)</f>
        <v>4269.6527777777783</v>
      </c>
      <c r="E31" s="17" t="str">
        <f>IFERROR(IF(COUNTIFS('Raw Data'!M4:M123,"Online",'Raw Data'!B4:B123,"&gt;=45",'Raw Data'!B4:B123,"&lt;=54")&gt;COUNTIFS('Raw Data'!M4:M123,"Offline",'Raw Data'!B4:B123,"&gt;=45",'Raw Data'!B4:B123,"&lt;=54"),"Online","Offline"),"N/A")</f>
        <v>Online</v>
      </c>
    </row>
    <row r="32" spans="1:10" ht="15" customHeight="1" x14ac:dyDescent="0.2">
      <c r="A32" s="19" t="s">
        <v>131</v>
      </c>
      <c r="B32" s="12">
        <f>COUNTIFS('Raw Data'!B4:B123,"&gt;=55",'Raw Data'!B4:B123,"&lt;=99")</f>
        <v>30</v>
      </c>
      <c r="C32" s="20">
        <f>IFERROR(AVERAGEIFS('Raw Data'!K4:K123,'Raw Data'!B4:B123,"&gt;=55",'Raw Data'!B4:B123,"&lt;=99"),0)</f>
        <v>57167.676666666666</v>
      </c>
      <c r="D32" s="20">
        <f>IFERROR(AVERAGEIFS('Raw Data'!J4:J123,'Raw Data'!B4:B123,"&gt;=55",'Raw Data'!B4:B123,"&lt;=99"),0)</f>
        <v>3853.5260000000003</v>
      </c>
      <c r="E32" s="19" t="str">
        <f>IFERROR(IF(COUNTIFS('Raw Data'!M4:M123,"Online",'Raw Data'!B4:B123,"&gt;=55",'Raw Data'!B4:B123,"&lt;=99")&gt;COUNTIFS('Raw Data'!M4:M123,"Offline",'Raw Data'!B4:B123,"&gt;=55",'Raw Data'!B4:B123,"&lt;=99"),"Online","Offline"),"N/A")</f>
        <v>Online</v>
      </c>
    </row>
  </sheetData>
  <mergeCells count="6">
    <mergeCell ref="A26:E26"/>
    <mergeCell ref="A1:P1"/>
    <mergeCell ref="A3:D3"/>
    <mergeCell ref="F3:K3"/>
    <mergeCell ref="A13:D13"/>
    <mergeCell ref="F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Normal="100" workbookViewId="0"/>
  </sheetViews>
  <sheetFormatPr defaultColWidth="8.7421875" defaultRowHeight="15" x14ac:dyDescent="0.2"/>
  <cols>
    <col min="1" max="1" width="20.04296875" style="1" customWidth="1"/>
    <col min="2" max="2" width="18.0234375" style="1" customWidth="1"/>
    <col min="3" max="4" width="20.04296875" style="1" customWidth="1"/>
    <col min="5" max="5" width="14.9296875" style="1" customWidth="1"/>
    <col min="6" max="6" width="11.97265625" style="1" customWidth="1"/>
    <col min="7" max="7" width="13.98828125" style="1" customWidth="1"/>
    <col min="8" max="8" width="32.015625" style="1" customWidth="1"/>
  </cols>
  <sheetData>
    <row r="1" spans="1:8" ht="31.5" customHeight="1" x14ac:dyDescent="0.2">
      <c r="A1" s="54" t="s">
        <v>132</v>
      </c>
      <c r="B1" s="54"/>
      <c r="C1" s="54"/>
      <c r="D1" s="54"/>
      <c r="E1" s="54"/>
      <c r="F1" s="54"/>
      <c r="G1" s="54"/>
      <c r="H1" s="54"/>
    </row>
    <row r="3" spans="1:8" ht="15" customHeight="1" x14ac:dyDescent="0.2">
      <c r="A3" s="55" t="s">
        <v>133</v>
      </c>
      <c r="B3" s="55"/>
      <c r="C3" s="55"/>
      <c r="D3" s="55"/>
      <c r="E3" s="55"/>
      <c r="F3" s="55"/>
      <c r="G3" s="55"/>
      <c r="H3" s="55"/>
    </row>
    <row r="4" spans="1:8" ht="15" customHeight="1" x14ac:dyDescent="0.2">
      <c r="A4" s="21" t="s">
        <v>134</v>
      </c>
      <c r="B4" s="21" t="s">
        <v>135</v>
      </c>
      <c r="C4" s="21" t="s">
        <v>136</v>
      </c>
      <c r="D4" s="21" t="s">
        <v>137</v>
      </c>
      <c r="E4" s="21" t="s">
        <v>138</v>
      </c>
      <c r="F4" s="21" t="s">
        <v>139</v>
      </c>
      <c r="G4" s="21" t="s">
        <v>140</v>
      </c>
      <c r="H4" s="21" t="s">
        <v>141</v>
      </c>
    </row>
    <row r="5" spans="1:8" ht="15" customHeight="1" x14ac:dyDescent="0.2">
      <c r="A5" s="17" t="s">
        <v>142</v>
      </c>
      <c r="B5" s="17" t="s">
        <v>143</v>
      </c>
      <c r="C5" s="17" t="s">
        <v>144</v>
      </c>
      <c r="D5" s="17" t="s">
        <v>145</v>
      </c>
      <c r="E5" s="17" t="s">
        <v>146</v>
      </c>
      <c r="F5" s="17" t="s">
        <v>147</v>
      </c>
      <c r="G5" s="17" t="s">
        <v>148</v>
      </c>
      <c r="H5" s="17" t="s">
        <v>149</v>
      </c>
    </row>
    <row r="6" spans="1:8" ht="15" customHeight="1" x14ac:dyDescent="0.2">
      <c r="A6" s="19" t="s">
        <v>150</v>
      </c>
      <c r="B6" s="19" t="s">
        <v>151</v>
      </c>
      <c r="C6" s="19" t="s">
        <v>152</v>
      </c>
      <c r="D6" s="19" t="s">
        <v>153</v>
      </c>
      <c r="E6" s="19" t="s">
        <v>154</v>
      </c>
      <c r="F6" s="19" t="s">
        <v>155</v>
      </c>
      <c r="G6" s="19" t="s">
        <v>156</v>
      </c>
      <c r="H6" s="19" t="s">
        <v>157</v>
      </c>
    </row>
    <row r="7" spans="1:8" ht="15" customHeight="1" x14ac:dyDescent="0.2">
      <c r="A7" s="17" t="s">
        <v>158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163</v>
      </c>
      <c r="G7" s="17" t="s">
        <v>164</v>
      </c>
      <c r="H7" s="17" t="s">
        <v>165</v>
      </c>
    </row>
    <row r="9" spans="1:8" ht="15" customHeight="1" x14ac:dyDescent="0.2">
      <c r="A9" s="55" t="s">
        <v>166</v>
      </c>
      <c r="B9" s="55"/>
      <c r="C9" s="55"/>
      <c r="D9" s="55"/>
      <c r="E9" s="55"/>
      <c r="F9" s="55"/>
      <c r="G9" s="55"/>
      <c r="H9" s="55"/>
    </row>
    <row r="10" spans="1:8" ht="15" customHeight="1" x14ac:dyDescent="0.2">
      <c r="A10" s="21" t="s">
        <v>167</v>
      </c>
      <c r="B10" s="21" t="s">
        <v>168</v>
      </c>
      <c r="C10" s="21" t="s">
        <v>159</v>
      </c>
      <c r="D10" s="21" t="s">
        <v>169</v>
      </c>
      <c r="E10" s="21" t="s">
        <v>170</v>
      </c>
      <c r="F10" s="21" t="s">
        <v>171</v>
      </c>
      <c r="G10" s="21" t="s">
        <v>172</v>
      </c>
      <c r="H10" s="21" t="s">
        <v>173</v>
      </c>
    </row>
    <row r="11" spans="1:8" ht="15" customHeight="1" x14ac:dyDescent="0.2">
      <c r="A11" s="22" t="s">
        <v>92</v>
      </c>
      <c r="B11" s="17" t="s">
        <v>174</v>
      </c>
      <c r="C11" s="17" t="s">
        <v>175</v>
      </c>
      <c r="D11" s="17" t="s">
        <v>176</v>
      </c>
      <c r="E11" s="17" t="s">
        <v>177</v>
      </c>
      <c r="F11" s="17" t="s">
        <v>177</v>
      </c>
      <c r="G11" s="17" t="s">
        <v>177</v>
      </c>
      <c r="H11" s="17" t="s">
        <v>178</v>
      </c>
    </row>
    <row r="12" spans="1:8" ht="15" customHeight="1" x14ac:dyDescent="0.2">
      <c r="A12" s="23" t="s">
        <v>93</v>
      </c>
      <c r="B12" s="19" t="s">
        <v>179</v>
      </c>
      <c r="C12" s="19" t="s">
        <v>180</v>
      </c>
      <c r="D12" s="19" t="s">
        <v>181</v>
      </c>
      <c r="E12" s="19" t="s">
        <v>182</v>
      </c>
      <c r="F12" s="19" t="s">
        <v>183</v>
      </c>
      <c r="G12" s="19" t="s">
        <v>177</v>
      </c>
      <c r="H12" s="19" t="s">
        <v>184</v>
      </c>
    </row>
    <row r="13" spans="1:8" ht="15" customHeight="1" x14ac:dyDescent="0.2">
      <c r="A13" s="24" t="s">
        <v>94</v>
      </c>
      <c r="B13" s="17" t="s">
        <v>185</v>
      </c>
      <c r="C13" s="17" t="s">
        <v>186</v>
      </c>
      <c r="D13" s="17" t="s">
        <v>177</v>
      </c>
      <c r="E13" s="17" t="s">
        <v>187</v>
      </c>
      <c r="F13" s="17" t="s">
        <v>177</v>
      </c>
      <c r="G13" s="17" t="s">
        <v>176</v>
      </c>
      <c r="H13" s="17" t="s">
        <v>188</v>
      </c>
    </row>
    <row r="14" spans="1:8" ht="15" customHeight="1" x14ac:dyDescent="0.2">
      <c r="A14" s="25" t="s">
        <v>95</v>
      </c>
      <c r="B14" s="19" t="s">
        <v>189</v>
      </c>
      <c r="C14" s="19" t="s">
        <v>177</v>
      </c>
      <c r="D14" s="19" t="s">
        <v>190</v>
      </c>
      <c r="E14" s="19" t="s">
        <v>191</v>
      </c>
      <c r="F14" s="19" t="s">
        <v>192</v>
      </c>
      <c r="G14" s="19" t="s">
        <v>177</v>
      </c>
      <c r="H14" s="19" t="s">
        <v>193</v>
      </c>
    </row>
    <row r="15" spans="1:8" ht="15" customHeight="1" x14ac:dyDescent="0.2">
      <c r="A15" s="13" t="s">
        <v>96</v>
      </c>
      <c r="B15" s="17" t="s">
        <v>194</v>
      </c>
      <c r="C15" s="17" t="s">
        <v>177</v>
      </c>
      <c r="D15" s="17" t="s">
        <v>195</v>
      </c>
      <c r="E15" s="17" t="s">
        <v>177</v>
      </c>
      <c r="F15" s="17" t="s">
        <v>177</v>
      </c>
      <c r="G15" s="17" t="s">
        <v>195</v>
      </c>
      <c r="H15" s="17" t="s">
        <v>196</v>
      </c>
    </row>
    <row r="17" spans="1:8" ht="15" customHeight="1" x14ac:dyDescent="0.2">
      <c r="A17" s="55" t="s">
        <v>197</v>
      </c>
      <c r="B17" s="55"/>
      <c r="C17" s="55"/>
      <c r="D17" s="55"/>
      <c r="E17" s="55"/>
      <c r="F17" s="55"/>
      <c r="G17" s="55"/>
      <c r="H17" s="55"/>
    </row>
    <row r="18" spans="1:8" ht="23.25" customHeight="1" x14ac:dyDescent="0.2">
      <c r="A18" s="21" t="s">
        <v>198</v>
      </c>
      <c r="B18" s="21" t="s">
        <v>4</v>
      </c>
      <c r="C18" s="21" t="s">
        <v>199</v>
      </c>
      <c r="D18" s="21" t="s">
        <v>200</v>
      </c>
      <c r="E18" s="21" t="s">
        <v>201</v>
      </c>
    </row>
    <row r="19" spans="1:8" ht="15" customHeight="1" x14ac:dyDescent="0.2">
      <c r="A19" s="26" t="s">
        <v>202</v>
      </c>
      <c r="B19" s="27" t="s">
        <v>203</v>
      </c>
      <c r="C19" s="26" t="s">
        <v>204</v>
      </c>
      <c r="D19" s="27" t="s">
        <v>205</v>
      </c>
      <c r="E19" s="27" t="s">
        <v>206</v>
      </c>
    </row>
    <row r="20" spans="1:8" ht="15" customHeight="1" x14ac:dyDescent="0.2">
      <c r="A20" s="28" t="s">
        <v>207</v>
      </c>
      <c r="B20" s="29" t="s">
        <v>208</v>
      </c>
      <c r="C20" s="28" t="s">
        <v>209</v>
      </c>
      <c r="D20" s="29" t="s">
        <v>205</v>
      </c>
      <c r="E20" s="29" t="s">
        <v>210</v>
      </c>
    </row>
    <row r="21" spans="1:8" ht="15" customHeight="1" x14ac:dyDescent="0.2">
      <c r="A21" s="26" t="s">
        <v>211</v>
      </c>
      <c r="B21" s="27" t="s">
        <v>212</v>
      </c>
      <c r="C21" s="26" t="s">
        <v>213</v>
      </c>
      <c r="D21" s="27" t="s">
        <v>214</v>
      </c>
      <c r="E21" s="27" t="s">
        <v>215</v>
      </c>
    </row>
    <row r="22" spans="1:8" ht="15" customHeight="1" x14ac:dyDescent="0.2">
      <c r="A22" s="28" t="s">
        <v>216</v>
      </c>
      <c r="B22" s="29" t="s">
        <v>217</v>
      </c>
      <c r="C22" s="28" t="s">
        <v>218</v>
      </c>
      <c r="D22" s="29" t="s">
        <v>214</v>
      </c>
      <c r="E22" s="29" t="s">
        <v>215</v>
      </c>
    </row>
    <row r="23" spans="1:8" ht="15" customHeight="1" x14ac:dyDescent="0.2">
      <c r="A23" s="26" t="s">
        <v>219</v>
      </c>
      <c r="B23" s="27" t="s">
        <v>220</v>
      </c>
      <c r="C23" s="26" t="s">
        <v>221</v>
      </c>
      <c r="D23" s="27" t="s">
        <v>214</v>
      </c>
      <c r="E23" s="27" t="s">
        <v>215</v>
      </c>
    </row>
    <row r="24" spans="1:8" ht="15" customHeight="1" x14ac:dyDescent="0.2">
      <c r="A24" s="28" t="s">
        <v>222</v>
      </c>
      <c r="B24" s="29" t="s">
        <v>223</v>
      </c>
      <c r="C24" s="28" t="s">
        <v>224</v>
      </c>
      <c r="D24" s="29" t="s">
        <v>225</v>
      </c>
      <c r="E24" s="29" t="s">
        <v>177</v>
      </c>
    </row>
    <row r="25" spans="1:8" ht="15" customHeight="1" x14ac:dyDescent="0.2">
      <c r="A25" s="30" t="s">
        <v>226</v>
      </c>
      <c r="B25" s="27" t="s">
        <v>227</v>
      </c>
      <c r="C25" s="26" t="s">
        <v>228</v>
      </c>
      <c r="D25" s="27" t="s">
        <v>225</v>
      </c>
      <c r="E25" s="27" t="s">
        <v>229</v>
      </c>
    </row>
    <row r="26" spans="1:8" ht="15" customHeight="1" x14ac:dyDescent="0.2">
      <c r="A26" s="28" t="s">
        <v>230</v>
      </c>
      <c r="B26" s="29" t="s">
        <v>231</v>
      </c>
      <c r="C26" s="28" t="s">
        <v>232</v>
      </c>
      <c r="D26" s="29" t="s">
        <v>214</v>
      </c>
      <c r="E26" s="29" t="s">
        <v>177</v>
      </c>
    </row>
    <row r="27" spans="1:8" ht="15" customHeight="1" x14ac:dyDescent="0.2">
      <c r="A27" s="26" t="s">
        <v>233</v>
      </c>
      <c r="B27" s="27" t="s">
        <v>234</v>
      </c>
      <c r="C27" s="26" t="s">
        <v>235</v>
      </c>
      <c r="D27" s="27" t="s">
        <v>236</v>
      </c>
      <c r="E27" s="27" t="s">
        <v>210</v>
      </c>
    </row>
    <row r="28" spans="1:8" ht="15" customHeight="1" x14ac:dyDescent="0.2">
      <c r="A28" s="28" t="s">
        <v>237</v>
      </c>
      <c r="B28" s="29" t="s">
        <v>238</v>
      </c>
      <c r="C28" s="28" t="s">
        <v>239</v>
      </c>
      <c r="D28" s="29" t="s">
        <v>214</v>
      </c>
      <c r="E28" s="29" t="s">
        <v>215</v>
      </c>
    </row>
  </sheetData>
  <mergeCells count="4">
    <mergeCell ref="A1:H1"/>
    <mergeCell ref="A3:H3"/>
    <mergeCell ref="A9:H9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2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13.98828125" style="1" customWidth="1"/>
    <col min="2" max="2" width="6.05078125" style="1" customWidth="1"/>
    <col min="3" max="3" width="9.01171875" style="1" customWidth="1"/>
    <col min="4" max="4" width="13.98828125" style="1" customWidth="1"/>
    <col min="5" max="5" width="9.01171875" style="1" customWidth="1"/>
    <col min="6" max="6" width="11.97265625" style="1" customWidth="1"/>
    <col min="7" max="7" width="20.04296875" style="1" customWidth="1"/>
    <col min="8" max="8" width="16.0078125" style="1" customWidth="1"/>
    <col min="9" max="9" width="18.0234375" style="1" customWidth="1"/>
    <col min="10" max="12" width="20.04296875" style="1" customWidth="1"/>
    <col min="13" max="13" width="18.0234375" style="1" customWidth="1"/>
    <col min="14" max="14" width="13.98828125" style="1" customWidth="1"/>
    <col min="15" max="15" width="16.94921875" style="1" customWidth="1"/>
    <col min="16" max="18" width="20.04296875" style="1" customWidth="1"/>
    <col min="19" max="19" width="11.97265625" style="1" customWidth="1"/>
    <col min="20" max="20" width="18.0234375" style="1" customWidth="1"/>
    <col min="21" max="21" width="16.0078125" style="1" customWidth="1"/>
    <col min="22" max="22" width="18.0234375" style="1" customWidth="1"/>
  </cols>
  <sheetData>
    <row r="1" spans="1:22" ht="30" customHeight="1" x14ac:dyDescent="0.2">
      <c r="A1" s="63" t="s">
        <v>240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2" ht="36" customHeight="1" x14ac:dyDescent="0.2">
      <c r="A2" s="31" t="s">
        <v>241</v>
      </c>
      <c r="B2" s="31" t="s">
        <v>242</v>
      </c>
      <c r="C2" s="31" t="s">
        <v>243</v>
      </c>
      <c r="D2" s="31" t="s">
        <v>244</v>
      </c>
      <c r="E2" s="31" t="s">
        <v>91</v>
      </c>
      <c r="F2" s="31" t="s">
        <v>245</v>
      </c>
      <c r="G2" s="31" t="s">
        <v>246</v>
      </c>
      <c r="H2" s="31" t="s">
        <v>247</v>
      </c>
      <c r="I2" s="31" t="s">
        <v>151</v>
      </c>
      <c r="J2" s="31" t="s">
        <v>248</v>
      </c>
      <c r="K2" s="31" t="s">
        <v>249</v>
      </c>
      <c r="L2" s="31" t="s">
        <v>250</v>
      </c>
      <c r="M2" s="31" t="s">
        <v>251</v>
      </c>
      <c r="N2" s="31" t="s">
        <v>252</v>
      </c>
      <c r="O2" s="31" t="s">
        <v>253</v>
      </c>
      <c r="P2" s="31" t="s">
        <v>254</v>
      </c>
      <c r="Q2" s="31" t="s">
        <v>143</v>
      </c>
      <c r="R2" s="31" t="s">
        <v>255</v>
      </c>
      <c r="S2" s="31" t="s">
        <v>125</v>
      </c>
      <c r="T2" s="31" t="s">
        <v>256</v>
      </c>
      <c r="U2" s="31" t="s">
        <v>257</v>
      </c>
      <c r="V2" s="31" t="s">
        <v>258</v>
      </c>
    </row>
    <row r="3" spans="1:22" ht="15" customHeight="1" x14ac:dyDescent="0.2">
      <c r="A3" s="19" t="str">
        <f>'Raw Data'!A4</f>
        <v>CUST0001</v>
      </c>
      <c r="B3" s="19">
        <f>'Raw Data'!B4</f>
        <v>26</v>
      </c>
      <c r="C3" s="19" t="str">
        <f>'Raw Data'!C4</f>
        <v>Male</v>
      </c>
      <c r="D3" s="19" t="str">
        <f>'Raw Data'!D4</f>
        <v>Delhi</v>
      </c>
      <c r="E3" s="19" t="str">
        <f>'Raw Data'!E4</f>
        <v>North</v>
      </c>
      <c r="F3" s="19" t="str">
        <f>'Raw Data'!F4</f>
        <v>Low</v>
      </c>
      <c r="G3" s="20">
        <f>'Raw Data'!G4</f>
        <v>22066</v>
      </c>
      <c r="H3" s="19" t="str">
        <f>'Raw Data'!H4</f>
        <v>Self-Employed</v>
      </c>
      <c r="I3" s="19">
        <f>'Raw Data'!I4</f>
        <v>19</v>
      </c>
      <c r="J3" s="32">
        <f>'Raw Data'!J4</f>
        <v>3548.8</v>
      </c>
      <c r="K3" s="32">
        <f>'Raw Data'!K4</f>
        <v>67427.199999999997</v>
      </c>
      <c r="L3" s="19" t="str">
        <f>'Raw Data'!L4</f>
        <v>Home &amp; Decor</v>
      </c>
      <c r="M3" s="19" t="str">
        <f>'Raw Data'!M4</f>
        <v>Offline</v>
      </c>
      <c r="N3" s="19" t="str">
        <f>'Raw Data'!N4</f>
        <v>Returning</v>
      </c>
      <c r="O3" s="19" t="str">
        <f>'Raw Data'!O4</f>
        <v>Low</v>
      </c>
      <c r="P3" s="19" t="str">
        <f>'Raw Data'!P4</f>
        <v>Low</v>
      </c>
      <c r="Q3" s="33">
        <f>'Raw Data'!Q4</f>
        <v>45809</v>
      </c>
      <c r="R3" s="19" t="str">
        <f ca="1">'Raw Data'!R4</f>
        <v>Loyal Customer</v>
      </c>
      <c r="S3" s="34" t="str">
        <f>IF(B3&lt;25,"18-24",IF(B3&lt;35,"25-34",IF(B3&lt;45,"35-44",IF(B3&lt;55,"45-54","55+"))))</f>
        <v>25-34</v>
      </c>
      <c r="T3" s="34" t="str">
        <f>IF(G3&lt;25000,"Low (&lt; ₹25K)",IF(G3&lt;50000,"Mid (₹25K-50K)","High (&gt; ₹50K)"))</f>
        <v>Low (&lt; ₹25K)</v>
      </c>
      <c r="U3" s="34">
        <f ca="1">IFERROR(TODAY()-Q3,"")</f>
        <v>316</v>
      </c>
      <c r="V3" s="34" t="str">
        <f ca="1">IF(AND(U3&lt;60,I3&gt;=12,K3&gt;=80000),"Champions",IF(AND(U3&lt;90,I3&gt;=8,K3&gt;=40000),"Loyal",IF(AND(U3&gt;180,I3&lt;5),"At Risk / Churned",IF(AND(U3&lt;120,I3&gt;=6),"Potential Loyal","Needs Attention"))))</f>
        <v>Needs Attention</v>
      </c>
    </row>
    <row r="4" spans="1:22" ht="15" customHeight="1" x14ac:dyDescent="0.2">
      <c r="A4" s="17" t="str">
        <f>'Raw Data'!A5</f>
        <v>CUST0002</v>
      </c>
      <c r="B4" s="17">
        <f>'Raw Data'!B5</f>
        <v>18</v>
      </c>
      <c r="C4" s="17" t="str">
        <f>'Raw Data'!C5</f>
        <v>Male</v>
      </c>
      <c r="D4" s="17" t="str">
        <f>'Raw Data'!D5</f>
        <v>Hyderabad</v>
      </c>
      <c r="E4" s="17" t="str">
        <f>'Raw Data'!E5</f>
        <v>South</v>
      </c>
      <c r="F4" s="17" t="str">
        <f>'Raw Data'!F5</f>
        <v>Mid</v>
      </c>
      <c r="G4" s="18">
        <f>'Raw Data'!G5</f>
        <v>30231</v>
      </c>
      <c r="H4" s="17" t="str">
        <f>'Raw Data'!H5</f>
        <v>Freelancer</v>
      </c>
      <c r="I4" s="17">
        <f>'Raw Data'!I5</f>
        <v>11</v>
      </c>
      <c r="J4" s="35">
        <f>'Raw Data'!J5</f>
        <v>2439.61</v>
      </c>
      <c r="K4" s="35">
        <f>'Raw Data'!K5</f>
        <v>26835.71</v>
      </c>
      <c r="L4" s="17" t="str">
        <f>'Raw Data'!L5</f>
        <v>Fashion</v>
      </c>
      <c r="M4" s="17" t="str">
        <f>'Raw Data'!M5</f>
        <v>Offline</v>
      </c>
      <c r="N4" s="17" t="str">
        <f>'Raw Data'!N5</f>
        <v>New</v>
      </c>
      <c r="O4" s="17" t="str">
        <f>'Raw Data'!O5</f>
        <v>Low</v>
      </c>
      <c r="P4" s="17" t="str">
        <f>'Raw Data'!P5</f>
        <v>High</v>
      </c>
      <c r="Q4" s="36">
        <f>'Raw Data'!Q5</f>
        <v>45396</v>
      </c>
      <c r="R4" s="17" t="str">
        <f ca="1">'Raw Data'!R5</f>
        <v>General Customer</v>
      </c>
      <c r="S4" s="34" t="str">
        <f>IF(B4&lt;25,"18-24",IF(B4&lt;35,"25-34",IF(B4&lt;45,"35-44",IF(B4&lt;55,"45-54","55+"))))</f>
        <v>18-24</v>
      </c>
      <c r="T4" s="34" t="str">
        <f>IF(G4&lt;25000,"Low (&lt; ₹25K)",IF(G4&lt;50000,"Mid (₹25K-50K)","High (&gt; ₹50K)"))</f>
        <v>Mid (₹25K-50K)</v>
      </c>
      <c r="U4" s="34">
        <f ca="1">IFERROR(TODAY()-Q4,"")</f>
        <v>729</v>
      </c>
      <c r="V4" s="34" t="str">
        <f ca="1">IF(AND(U4&lt;60,I4&gt;=12,K4&gt;=80000),"Champions",IF(AND(U4&lt;90,I4&gt;=8,K4&gt;=40000),"Loyal",IF(AND(U4&gt;180,I4&lt;5),"At Risk / Churned",IF(AND(U4&lt;120,I4&gt;=6),"Potential Loyal","Needs Attention"))))</f>
        <v>Needs Attention</v>
      </c>
    </row>
    <row r="5" spans="1:22" ht="15" customHeight="1" x14ac:dyDescent="0.2">
      <c r="A5" s="19" t="str">
        <f>'Raw Data'!A6</f>
        <v>CUST0003</v>
      </c>
      <c r="B5" s="19">
        <f>'Raw Data'!B6</f>
        <v>64</v>
      </c>
      <c r="C5" s="19" t="str">
        <f>'Raw Data'!C6</f>
        <v>Female</v>
      </c>
      <c r="D5" s="19" t="str">
        <f>'Raw Data'!D6</f>
        <v>Pune</v>
      </c>
      <c r="E5" s="19" t="str">
        <f>'Raw Data'!E6</f>
        <v>West</v>
      </c>
      <c r="F5" s="19" t="str">
        <f>'Raw Data'!F6</f>
        <v>High</v>
      </c>
      <c r="G5" s="20">
        <f>'Raw Data'!G6</f>
        <v>66361</v>
      </c>
      <c r="H5" s="19" t="str">
        <f>'Raw Data'!H6</f>
        <v>Self-Employed</v>
      </c>
      <c r="I5" s="19">
        <f>'Raw Data'!I6</f>
        <v>13</v>
      </c>
      <c r="J5" s="32">
        <f>'Raw Data'!J6</f>
        <v>906.76</v>
      </c>
      <c r="K5" s="32">
        <f>'Raw Data'!K6</f>
        <v>11787.88</v>
      </c>
      <c r="L5" s="19" t="str">
        <f>'Raw Data'!L6</f>
        <v>Fashion</v>
      </c>
      <c r="M5" s="19" t="str">
        <f>'Raw Data'!M6</f>
        <v>Online</v>
      </c>
      <c r="N5" s="19" t="str">
        <f>'Raw Data'!N6</f>
        <v>Returning</v>
      </c>
      <c r="O5" s="19" t="str">
        <f>'Raw Data'!O6</f>
        <v>Medium</v>
      </c>
      <c r="P5" s="19" t="str">
        <f>'Raw Data'!P6</f>
        <v>Medium</v>
      </c>
      <c r="Q5" s="33">
        <f>'Raw Data'!Q6</f>
        <v>45662</v>
      </c>
      <c r="R5" s="19" t="str">
        <f ca="1">'Raw Data'!R6</f>
        <v>General Customer</v>
      </c>
      <c r="S5" s="34" t="str">
        <f>IF(B5&lt;25,"18-24",IF(B5&lt;35,"25-34",IF(B5&lt;45,"35-44",IF(B5&lt;55,"45-54","55+"))))</f>
        <v>55+</v>
      </c>
      <c r="T5" s="34" t="str">
        <f>IF(G5&lt;25000,"Low (&lt; ₹25K)",IF(G5&lt;50000,"Mid (₹25K-50K)","High (&gt; ₹50K)"))</f>
        <v>High (&gt; ₹50K)</v>
      </c>
      <c r="U5" s="34">
        <f ca="1">IFERROR(TODAY()-Q5,"")</f>
        <v>463</v>
      </c>
      <c r="V5" s="34" t="str">
        <f ca="1">IF(AND(U5&lt;60,I5&gt;=12,K5&gt;=80000),"Champions",IF(AND(U5&lt;90,I5&gt;=8,K5&gt;=40000),"Loyal",IF(AND(U5&gt;180,I5&lt;5),"At Risk / Churned",IF(AND(U5&lt;120,I5&gt;=6),"Potential Loyal","Needs Attention"))))</f>
        <v>Needs Attention</v>
      </c>
    </row>
    <row r="6" spans="1:22" ht="15" customHeight="1" x14ac:dyDescent="0.2">
      <c r="A6" s="17" t="str">
        <f>'Raw Data'!A7</f>
        <v>CUST0004</v>
      </c>
      <c r="B6" s="17">
        <f>'Raw Data'!B7</f>
        <v>24</v>
      </c>
      <c r="C6" s="17" t="str">
        <f>'Raw Data'!C7</f>
        <v>Female</v>
      </c>
      <c r="D6" s="17" t="str">
        <f>'Raw Data'!D7</f>
        <v>Hyderabad</v>
      </c>
      <c r="E6" s="17" t="str">
        <f>'Raw Data'!E7</f>
        <v>South</v>
      </c>
      <c r="F6" s="17" t="str">
        <f>'Raw Data'!F7</f>
        <v>Mid</v>
      </c>
      <c r="G6" s="18">
        <f>'Raw Data'!G7</f>
        <v>34108</v>
      </c>
      <c r="H6" s="17" t="str">
        <f>'Raw Data'!H7</f>
        <v>Student</v>
      </c>
      <c r="I6" s="17">
        <f>'Raw Data'!I7</f>
        <v>21</v>
      </c>
      <c r="J6" s="35">
        <f>'Raw Data'!J7</f>
        <v>6722.65</v>
      </c>
      <c r="K6" s="35">
        <f>'Raw Data'!K7</f>
        <v>141175.65</v>
      </c>
      <c r="L6" s="17" t="str">
        <f>'Raw Data'!L7</f>
        <v>Fashion</v>
      </c>
      <c r="M6" s="17" t="str">
        <f>'Raw Data'!M7</f>
        <v>Online</v>
      </c>
      <c r="N6" s="17" t="str">
        <f>'Raw Data'!N7</f>
        <v>New</v>
      </c>
      <c r="O6" s="17" t="str">
        <f>'Raw Data'!O7</f>
        <v>Low</v>
      </c>
      <c r="P6" s="17" t="str">
        <f>'Raw Data'!P7</f>
        <v>Medium</v>
      </c>
      <c r="Q6" s="36">
        <f>'Raw Data'!Q7</f>
        <v>45978</v>
      </c>
      <c r="R6" s="17" t="str">
        <f ca="1">'Raw Data'!R7</f>
        <v>Loyal Customer</v>
      </c>
      <c r="S6" s="34" t="str">
        <f>IF(B6&lt;25,"18-24",IF(B6&lt;35,"25-34",IF(B6&lt;45,"35-44",IF(B6&lt;55,"45-54","55+"))))</f>
        <v>18-24</v>
      </c>
      <c r="T6" s="34" t="str">
        <f>IF(G6&lt;25000,"Low (&lt; ₹25K)",IF(G6&lt;50000,"Mid (₹25K-50K)","High (&gt; ₹50K)"))</f>
        <v>Mid (₹25K-50K)</v>
      </c>
      <c r="U6" s="34">
        <f ca="1">IFERROR(TODAY()-Q6,"")</f>
        <v>147</v>
      </c>
      <c r="V6" s="34" t="str">
        <f ca="1">IF(AND(U6&lt;60,I6&gt;=12,K6&gt;=80000),"Champions",IF(AND(U6&lt;90,I6&gt;=8,K6&gt;=40000),"Loyal",IF(AND(U6&gt;180,I6&lt;5),"At Risk / Churned",IF(AND(U6&lt;120,I6&gt;=6),"Potential Loyal","Needs Attention"))))</f>
        <v>Needs Attention</v>
      </c>
    </row>
    <row r="7" spans="1:22" ht="15" customHeight="1" x14ac:dyDescent="0.2">
      <c r="A7" s="19" t="str">
        <f>'Raw Data'!A8</f>
        <v>CUST0005</v>
      </c>
      <c r="B7" s="19">
        <f>'Raw Data'!B8</f>
        <v>42</v>
      </c>
      <c r="C7" s="19" t="str">
        <f>'Raw Data'!C8</f>
        <v>Male</v>
      </c>
      <c r="D7" s="19" t="str">
        <f>'Raw Data'!D8</f>
        <v>Jaipur</v>
      </c>
      <c r="E7" s="19" t="str">
        <f>'Raw Data'!E8</f>
        <v>North</v>
      </c>
      <c r="F7" s="19" t="str">
        <f>'Raw Data'!F8</f>
        <v>High</v>
      </c>
      <c r="G7" s="20">
        <f>'Raw Data'!G8</f>
        <v>78785</v>
      </c>
      <c r="H7" s="19" t="str">
        <f>'Raw Data'!H8</f>
        <v>Salaried</v>
      </c>
      <c r="I7" s="19">
        <f>'Raw Data'!I8</f>
        <v>22</v>
      </c>
      <c r="J7" s="32">
        <f>'Raw Data'!J8</f>
        <v>2796.98</v>
      </c>
      <c r="K7" s="32">
        <f>'Raw Data'!K8</f>
        <v>61533.56</v>
      </c>
      <c r="L7" s="19" t="str">
        <f>'Raw Data'!L8</f>
        <v>Books</v>
      </c>
      <c r="M7" s="19" t="str">
        <f>'Raw Data'!M8</f>
        <v>Offline</v>
      </c>
      <c r="N7" s="19" t="str">
        <f>'Raw Data'!N8</f>
        <v>Returning</v>
      </c>
      <c r="O7" s="19" t="str">
        <f>'Raw Data'!O8</f>
        <v>High</v>
      </c>
      <c r="P7" s="19" t="str">
        <f>'Raw Data'!P8</f>
        <v>Low</v>
      </c>
      <c r="Q7" s="33">
        <f>'Raw Data'!Q8</f>
        <v>45324</v>
      </c>
      <c r="R7" s="19" t="str">
        <f ca="1">'Raw Data'!R8</f>
        <v>Loyal Customer</v>
      </c>
      <c r="S7" s="34" t="str">
        <f>IF(B7&lt;25,"18-24",IF(B7&lt;35,"25-34",IF(B7&lt;45,"35-44",IF(B7&lt;55,"45-54","55+"))))</f>
        <v>35-44</v>
      </c>
      <c r="T7" s="34" t="str">
        <f>IF(G7&lt;25000,"Low (&lt; ₹25K)",IF(G7&lt;50000,"Mid (₹25K-50K)","High (&gt; ₹50K)"))</f>
        <v>High (&gt; ₹50K)</v>
      </c>
      <c r="U7" s="34">
        <f ca="1">IFERROR(TODAY()-Q7,"")</f>
        <v>801</v>
      </c>
      <c r="V7" s="34" t="str">
        <f ca="1">IF(AND(U7&lt;60,I7&gt;=12,K7&gt;=80000),"Champions",IF(AND(U7&lt;90,I7&gt;=8,K7&gt;=40000),"Loyal",IF(AND(U7&gt;180,I7&lt;5),"At Risk / Churned",IF(AND(U7&lt;120,I7&gt;=6),"Potential Loyal","Needs Attention"))))</f>
        <v>Needs Attention</v>
      </c>
    </row>
    <row r="8" spans="1:22" ht="15" customHeight="1" x14ac:dyDescent="0.2">
      <c r="A8" s="17" t="str">
        <f>'Raw Data'!A9</f>
        <v>CUST0006</v>
      </c>
      <c r="B8" s="17">
        <f>'Raw Data'!B9</f>
        <v>38</v>
      </c>
      <c r="C8" s="17" t="str">
        <f>'Raw Data'!C9</f>
        <v>Female</v>
      </c>
      <c r="D8" s="17" t="str">
        <f>'Raw Data'!D9</f>
        <v>Delhi</v>
      </c>
      <c r="E8" s="17" t="str">
        <f>'Raw Data'!E9</f>
        <v>North</v>
      </c>
      <c r="F8" s="17" t="str">
        <f>'Raw Data'!F9</f>
        <v>Low</v>
      </c>
      <c r="G8" s="18">
        <f>'Raw Data'!G9</f>
        <v>13483</v>
      </c>
      <c r="H8" s="17" t="str">
        <f>'Raw Data'!H9</f>
        <v>Freelancer</v>
      </c>
      <c r="I8" s="17">
        <f>'Raw Data'!I9</f>
        <v>13</v>
      </c>
      <c r="J8" s="35">
        <f>'Raw Data'!J9</f>
        <v>7112.06</v>
      </c>
      <c r="K8" s="35">
        <f>'Raw Data'!K9</f>
        <v>92456.78</v>
      </c>
      <c r="L8" s="17" t="str">
        <f>'Raw Data'!L9</f>
        <v>Sports</v>
      </c>
      <c r="M8" s="17" t="str">
        <f>'Raw Data'!M9</f>
        <v>Offline</v>
      </c>
      <c r="N8" s="17" t="str">
        <f>'Raw Data'!N9</f>
        <v>New</v>
      </c>
      <c r="O8" s="17" t="str">
        <f>'Raw Data'!O9</f>
        <v>Medium</v>
      </c>
      <c r="P8" s="17" t="str">
        <f>'Raw Data'!P9</f>
        <v>Low</v>
      </c>
      <c r="Q8" s="36">
        <f>'Raw Data'!Q9</f>
        <v>45434</v>
      </c>
      <c r="R8" s="17" t="str">
        <f ca="1">'Raw Data'!R9</f>
        <v>Loyal Customer</v>
      </c>
      <c r="S8" s="34" t="str">
        <f>IF(B8&lt;25,"18-24",IF(B8&lt;35,"25-34",IF(B8&lt;45,"35-44",IF(B8&lt;55,"45-54","55+"))))</f>
        <v>35-44</v>
      </c>
      <c r="T8" s="34" t="str">
        <f>IF(G8&lt;25000,"Low (&lt; ₹25K)",IF(G8&lt;50000,"Mid (₹25K-50K)","High (&gt; ₹50K)"))</f>
        <v>Low (&lt; ₹25K)</v>
      </c>
      <c r="U8" s="34">
        <f ca="1">IFERROR(TODAY()-Q8,"")</f>
        <v>691</v>
      </c>
      <c r="V8" s="34" t="str">
        <f ca="1">IF(AND(U8&lt;60,I8&gt;=12,K8&gt;=80000),"Champions",IF(AND(U8&lt;90,I8&gt;=8,K8&gt;=40000),"Loyal",IF(AND(U8&gt;180,I8&lt;5),"At Risk / Churned",IF(AND(U8&lt;120,I8&gt;=6),"Potential Loyal","Needs Attention"))))</f>
        <v>Needs Attention</v>
      </c>
    </row>
    <row r="9" spans="1:22" ht="15" customHeight="1" x14ac:dyDescent="0.2">
      <c r="A9" s="19" t="str">
        <f>'Raw Data'!A10</f>
        <v>CUST0007</v>
      </c>
      <c r="B9" s="19">
        <f>'Raw Data'!B10</f>
        <v>26</v>
      </c>
      <c r="C9" s="19" t="str">
        <f>'Raw Data'!C10</f>
        <v>Male</v>
      </c>
      <c r="D9" s="19" t="str">
        <f>'Raw Data'!D10</f>
        <v>Lucknow</v>
      </c>
      <c r="E9" s="19" t="str">
        <f>'Raw Data'!E10</f>
        <v>North</v>
      </c>
      <c r="F9" s="19" t="str">
        <f>'Raw Data'!F10</f>
        <v>Mid</v>
      </c>
      <c r="G9" s="20">
        <f>'Raw Data'!G10</f>
        <v>41171</v>
      </c>
      <c r="H9" s="19" t="str">
        <f>'Raw Data'!H10</f>
        <v>Self-Employed</v>
      </c>
      <c r="I9" s="19">
        <f>'Raw Data'!I10</f>
        <v>2</v>
      </c>
      <c r="J9" s="32">
        <f>'Raw Data'!J10</f>
        <v>6930.49</v>
      </c>
      <c r="K9" s="32">
        <f>'Raw Data'!K10</f>
        <v>13860.98</v>
      </c>
      <c r="L9" s="19" t="str">
        <f>'Raw Data'!L10</f>
        <v>Fashion</v>
      </c>
      <c r="M9" s="19" t="str">
        <f>'Raw Data'!M10</f>
        <v>Offline</v>
      </c>
      <c r="N9" s="19" t="str">
        <f>'Raw Data'!N10</f>
        <v>Returning</v>
      </c>
      <c r="O9" s="19" t="str">
        <f>'Raw Data'!O10</f>
        <v>Low</v>
      </c>
      <c r="P9" s="19" t="str">
        <f>'Raw Data'!P10</f>
        <v>Low</v>
      </c>
      <c r="Q9" s="33">
        <f>'Raw Data'!Q10</f>
        <v>45988</v>
      </c>
      <c r="R9" s="19" t="str">
        <f ca="1">'Raw Data'!R10</f>
        <v>General Customer</v>
      </c>
      <c r="S9" s="34" t="str">
        <f>IF(B9&lt;25,"18-24",IF(B9&lt;35,"25-34",IF(B9&lt;45,"35-44",IF(B9&lt;55,"45-54","55+"))))</f>
        <v>25-34</v>
      </c>
      <c r="T9" s="34" t="str">
        <f>IF(G9&lt;25000,"Low (&lt; ₹25K)",IF(G9&lt;50000,"Mid (₹25K-50K)","High (&gt; ₹50K)"))</f>
        <v>Mid (₹25K-50K)</v>
      </c>
      <c r="U9" s="34">
        <f ca="1">IFERROR(TODAY()-Q9,"")</f>
        <v>137</v>
      </c>
      <c r="V9" s="34" t="str">
        <f ca="1">IF(AND(U9&lt;60,I9&gt;=12,K9&gt;=80000),"Champions",IF(AND(U9&lt;90,I9&gt;=8,K9&gt;=40000),"Loyal",IF(AND(U9&gt;180,I9&lt;5),"At Risk / Churned",IF(AND(U9&lt;120,I9&gt;=6),"Potential Loyal","Needs Attention"))))</f>
        <v>Needs Attention</v>
      </c>
    </row>
    <row r="10" spans="1:22" ht="15" customHeight="1" x14ac:dyDescent="0.2">
      <c r="A10" s="17" t="str">
        <f>'Raw Data'!A11</f>
        <v>CUST0008</v>
      </c>
      <c r="B10" s="17">
        <f>'Raw Data'!B11</f>
        <v>53</v>
      </c>
      <c r="C10" s="17" t="str">
        <f>'Raw Data'!C11</f>
        <v>Female</v>
      </c>
      <c r="D10" s="17" t="str">
        <f>'Raw Data'!D11</f>
        <v>Kolkata</v>
      </c>
      <c r="E10" s="17" t="str">
        <f>'Raw Data'!E11</f>
        <v>East</v>
      </c>
      <c r="F10" s="17" t="str">
        <f>'Raw Data'!F11</f>
        <v>High</v>
      </c>
      <c r="G10" s="18">
        <f>'Raw Data'!G11</f>
        <v>65014</v>
      </c>
      <c r="H10" s="17" t="str">
        <f>'Raw Data'!H11</f>
        <v>Business Owner</v>
      </c>
      <c r="I10" s="17">
        <f>'Raw Data'!I11</f>
        <v>22</v>
      </c>
      <c r="J10" s="35">
        <f>'Raw Data'!J11</f>
        <v>7112.87</v>
      </c>
      <c r="K10" s="35">
        <f>'Raw Data'!K11</f>
        <v>156483.14000000001</v>
      </c>
      <c r="L10" s="17" t="str">
        <f>'Raw Data'!L11</f>
        <v>Books</v>
      </c>
      <c r="M10" s="17" t="str">
        <f>'Raw Data'!M11</f>
        <v>Online</v>
      </c>
      <c r="N10" s="17" t="str">
        <f>'Raw Data'!N11</f>
        <v>New</v>
      </c>
      <c r="O10" s="17" t="str">
        <f>'Raw Data'!O11</f>
        <v>High</v>
      </c>
      <c r="P10" s="17" t="str">
        <f>'Raw Data'!P11</f>
        <v>High</v>
      </c>
      <c r="Q10" s="36">
        <f>'Raw Data'!Q11</f>
        <v>45640</v>
      </c>
      <c r="R10" s="17" t="str">
        <f ca="1">'Raw Data'!R11</f>
        <v>Premium Customer</v>
      </c>
      <c r="S10" s="34" t="str">
        <f>IF(B10&lt;25,"18-24",IF(B10&lt;35,"25-34",IF(B10&lt;45,"35-44",IF(B10&lt;55,"45-54","55+"))))</f>
        <v>45-54</v>
      </c>
      <c r="T10" s="34" t="str">
        <f>IF(G10&lt;25000,"Low (&lt; ₹25K)",IF(G10&lt;50000,"Mid (₹25K-50K)","High (&gt; ₹50K)"))</f>
        <v>High (&gt; ₹50K)</v>
      </c>
      <c r="U10" s="34">
        <f ca="1">IFERROR(TODAY()-Q10,"")</f>
        <v>485</v>
      </c>
      <c r="V10" s="34" t="str">
        <f ca="1">IF(AND(U10&lt;60,I10&gt;=12,K10&gt;=80000),"Champions",IF(AND(U10&lt;90,I10&gt;=8,K10&gt;=40000),"Loyal",IF(AND(U10&gt;180,I10&lt;5),"At Risk / Churned",IF(AND(U10&lt;120,I10&gt;=6),"Potential Loyal","Needs Attention"))))</f>
        <v>Needs Attention</v>
      </c>
    </row>
    <row r="11" spans="1:22" ht="15" customHeight="1" x14ac:dyDescent="0.2">
      <c r="A11" s="19" t="str">
        <f>'Raw Data'!A12</f>
        <v>CUST0009</v>
      </c>
      <c r="B11" s="19">
        <f>'Raw Data'!B12</f>
        <v>29</v>
      </c>
      <c r="C11" s="19" t="str">
        <f>'Raw Data'!C12</f>
        <v>Other</v>
      </c>
      <c r="D11" s="19" t="str">
        <f>'Raw Data'!D12</f>
        <v>Ahmedabad</v>
      </c>
      <c r="E11" s="19" t="str">
        <f>'Raw Data'!E12</f>
        <v>West</v>
      </c>
      <c r="F11" s="19" t="str">
        <f>'Raw Data'!F12</f>
        <v>Low</v>
      </c>
      <c r="G11" s="20">
        <f>'Raw Data'!G12</f>
        <v>18317</v>
      </c>
      <c r="H11" s="19" t="str">
        <f>'Raw Data'!H12</f>
        <v>Self-Employed</v>
      </c>
      <c r="I11" s="19">
        <f>'Raw Data'!I12</f>
        <v>21</v>
      </c>
      <c r="J11" s="32">
        <f>'Raw Data'!J12</f>
        <v>4209</v>
      </c>
      <c r="K11" s="32">
        <f>'Raw Data'!K12</f>
        <v>88389</v>
      </c>
      <c r="L11" s="19" t="str">
        <f>'Raw Data'!L12</f>
        <v>Electronics</v>
      </c>
      <c r="M11" s="19" t="str">
        <f>'Raw Data'!M12</f>
        <v>Offline</v>
      </c>
      <c r="N11" s="19" t="str">
        <f>'Raw Data'!N12</f>
        <v>Returning</v>
      </c>
      <c r="O11" s="19" t="str">
        <f>'Raw Data'!O12</f>
        <v>Low</v>
      </c>
      <c r="P11" s="19" t="str">
        <f>'Raw Data'!P12</f>
        <v>Medium</v>
      </c>
      <c r="Q11" s="33">
        <f>'Raw Data'!Q12</f>
        <v>45457</v>
      </c>
      <c r="R11" s="19" t="str">
        <f ca="1">'Raw Data'!R12</f>
        <v>Loyal Customer</v>
      </c>
      <c r="S11" s="34" t="str">
        <f>IF(B11&lt;25,"18-24",IF(B11&lt;35,"25-34",IF(B11&lt;45,"35-44",IF(B11&lt;55,"45-54","55+"))))</f>
        <v>25-34</v>
      </c>
      <c r="T11" s="34" t="str">
        <f>IF(G11&lt;25000,"Low (&lt; ₹25K)",IF(G11&lt;50000,"Mid (₹25K-50K)","High (&gt; ₹50K)"))</f>
        <v>Low (&lt; ₹25K)</v>
      </c>
      <c r="U11" s="34">
        <f ca="1">IFERROR(TODAY()-Q11,"")</f>
        <v>668</v>
      </c>
      <c r="V11" s="34" t="str">
        <f ca="1">IF(AND(U11&lt;60,I11&gt;=12,K11&gt;=80000),"Champions",IF(AND(U11&lt;90,I11&gt;=8,K11&gt;=40000),"Loyal",IF(AND(U11&gt;180,I11&lt;5),"At Risk / Churned",IF(AND(U11&lt;120,I11&gt;=6),"Potential Loyal","Needs Attention"))))</f>
        <v>Needs Attention</v>
      </c>
    </row>
    <row r="12" spans="1:22" ht="15" customHeight="1" x14ac:dyDescent="0.2">
      <c r="A12" s="17" t="str">
        <f>'Raw Data'!A13</f>
        <v>CUST0010</v>
      </c>
      <c r="B12" s="17">
        <f>'Raw Data'!B13</f>
        <v>37</v>
      </c>
      <c r="C12" s="17" t="str">
        <f>'Raw Data'!C13</f>
        <v>Female</v>
      </c>
      <c r="D12" s="17" t="str">
        <f>'Raw Data'!D13</f>
        <v>Ahmedabad</v>
      </c>
      <c r="E12" s="17" t="str">
        <f>'Raw Data'!E13</f>
        <v>West</v>
      </c>
      <c r="F12" s="17" t="str">
        <f>'Raw Data'!F13</f>
        <v>Low</v>
      </c>
      <c r="G12" s="18">
        <f>'Raw Data'!G13</f>
        <v>13923</v>
      </c>
      <c r="H12" s="17" t="str">
        <f>'Raw Data'!H13</f>
        <v>Student</v>
      </c>
      <c r="I12" s="17">
        <f>'Raw Data'!I13</f>
        <v>19</v>
      </c>
      <c r="J12" s="35">
        <f>'Raw Data'!J13</f>
        <v>7591.51</v>
      </c>
      <c r="K12" s="35">
        <f>'Raw Data'!K13</f>
        <v>144238.69</v>
      </c>
      <c r="L12" s="17" t="str">
        <f>'Raw Data'!L13</f>
        <v>Grocery</v>
      </c>
      <c r="M12" s="17" t="str">
        <f>'Raw Data'!M13</f>
        <v>Online</v>
      </c>
      <c r="N12" s="17" t="str">
        <f>'Raw Data'!N13</f>
        <v>Returning</v>
      </c>
      <c r="O12" s="17" t="str">
        <f>'Raw Data'!O13</f>
        <v>Low</v>
      </c>
      <c r="P12" s="17" t="str">
        <f>'Raw Data'!P13</f>
        <v>Medium</v>
      </c>
      <c r="Q12" s="36">
        <f>'Raw Data'!Q13</f>
        <v>45362</v>
      </c>
      <c r="R12" s="17" t="str">
        <f ca="1">'Raw Data'!R13</f>
        <v>Loyal Customer</v>
      </c>
      <c r="S12" s="34" t="str">
        <f>IF(B12&lt;25,"18-24",IF(B12&lt;35,"25-34",IF(B12&lt;45,"35-44",IF(B12&lt;55,"45-54","55+"))))</f>
        <v>35-44</v>
      </c>
      <c r="T12" s="34" t="str">
        <f>IF(G12&lt;25000,"Low (&lt; ₹25K)",IF(G12&lt;50000,"Mid (₹25K-50K)","High (&gt; ₹50K)"))</f>
        <v>Low (&lt; ₹25K)</v>
      </c>
      <c r="U12" s="34">
        <f ca="1">IFERROR(TODAY()-Q12,"")</f>
        <v>763</v>
      </c>
      <c r="V12" s="34" t="str">
        <f ca="1">IF(AND(U12&lt;60,I12&gt;=12,K12&gt;=80000),"Champions",IF(AND(U12&lt;90,I12&gt;=8,K12&gt;=40000),"Loyal",IF(AND(U12&gt;180,I12&lt;5),"At Risk / Churned",IF(AND(U12&lt;120,I12&gt;=6),"Potential Loyal","Needs Attention"))))</f>
        <v>Needs Attention</v>
      </c>
    </row>
    <row r="13" spans="1:22" ht="15" customHeight="1" x14ac:dyDescent="0.2">
      <c r="A13" s="19" t="str">
        <f>'Raw Data'!A14</f>
        <v>CUST0011</v>
      </c>
      <c r="B13" s="19">
        <f>'Raw Data'!B14</f>
        <v>56</v>
      </c>
      <c r="C13" s="19" t="str">
        <f>'Raw Data'!C14</f>
        <v>Male</v>
      </c>
      <c r="D13" s="19" t="str">
        <f>'Raw Data'!D14</f>
        <v>Ahmedabad</v>
      </c>
      <c r="E13" s="19" t="str">
        <f>'Raw Data'!E14</f>
        <v>West</v>
      </c>
      <c r="F13" s="19" t="str">
        <f>'Raw Data'!F14</f>
        <v>High</v>
      </c>
      <c r="G13" s="20">
        <f>'Raw Data'!G14</f>
        <v>76365</v>
      </c>
      <c r="H13" s="19" t="str">
        <f>'Raw Data'!H14</f>
        <v>Salaried</v>
      </c>
      <c r="I13" s="19">
        <f>'Raw Data'!I14</f>
        <v>23</v>
      </c>
      <c r="J13" s="32">
        <f>'Raw Data'!J14</f>
        <v>2700.22</v>
      </c>
      <c r="K13" s="32">
        <f>'Raw Data'!K14</f>
        <v>62105.06</v>
      </c>
      <c r="L13" s="19" t="str">
        <f>'Raw Data'!L14</f>
        <v>Travel</v>
      </c>
      <c r="M13" s="19" t="str">
        <f>'Raw Data'!M14</f>
        <v>Online</v>
      </c>
      <c r="N13" s="19" t="str">
        <f>'Raw Data'!N14</f>
        <v>Returning</v>
      </c>
      <c r="O13" s="19" t="str">
        <f>'Raw Data'!O14</f>
        <v>High</v>
      </c>
      <c r="P13" s="19" t="str">
        <f>'Raw Data'!P14</f>
        <v>Medium</v>
      </c>
      <c r="Q13" s="33">
        <f>'Raw Data'!Q14</f>
        <v>45740</v>
      </c>
      <c r="R13" s="19" t="str">
        <f ca="1">'Raw Data'!R14</f>
        <v>Loyal Customer</v>
      </c>
      <c r="S13" s="34" t="str">
        <f>IF(B13&lt;25,"18-24",IF(B13&lt;35,"25-34",IF(B13&lt;45,"35-44",IF(B13&lt;55,"45-54","55+"))))</f>
        <v>55+</v>
      </c>
      <c r="T13" s="34" t="str">
        <f>IF(G13&lt;25000,"Low (&lt; ₹25K)",IF(G13&lt;50000,"Mid (₹25K-50K)","High (&gt; ₹50K)"))</f>
        <v>High (&gt; ₹50K)</v>
      </c>
      <c r="U13" s="34">
        <f ca="1">IFERROR(TODAY()-Q13,"")</f>
        <v>385</v>
      </c>
      <c r="V13" s="34" t="str">
        <f ca="1">IF(AND(U13&lt;60,I13&gt;=12,K13&gt;=80000),"Champions",IF(AND(U13&lt;90,I13&gt;=8,K13&gt;=40000),"Loyal",IF(AND(U13&gt;180,I13&lt;5),"At Risk / Churned",IF(AND(U13&lt;120,I13&gt;=6),"Potential Loyal","Needs Attention"))))</f>
        <v>Needs Attention</v>
      </c>
    </row>
    <row r="14" spans="1:22" ht="15" customHeight="1" x14ac:dyDescent="0.2">
      <c r="A14" s="17" t="str">
        <f>'Raw Data'!A15</f>
        <v>CUST0012</v>
      </c>
      <c r="B14" s="17">
        <f>'Raw Data'!B15</f>
        <v>55</v>
      </c>
      <c r="C14" s="17" t="str">
        <f>'Raw Data'!C15</f>
        <v>Male</v>
      </c>
      <c r="D14" s="17" t="str">
        <f>'Raw Data'!D15</f>
        <v>Hyderabad</v>
      </c>
      <c r="E14" s="17" t="str">
        <f>'Raw Data'!E15</f>
        <v>South</v>
      </c>
      <c r="F14" s="17" t="str">
        <f>'Raw Data'!F15</f>
        <v>Low</v>
      </c>
      <c r="G14" s="18">
        <f>'Raw Data'!G15</f>
        <v>19075</v>
      </c>
      <c r="H14" s="17" t="str">
        <f>'Raw Data'!H15</f>
        <v>Student</v>
      </c>
      <c r="I14" s="17">
        <f>'Raw Data'!I15</f>
        <v>1</v>
      </c>
      <c r="J14" s="35">
        <f>'Raw Data'!J15</f>
        <v>846.65</v>
      </c>
      <c r="K14" s="35">
        <f>'Raw Data'!K15</f>
        <v>846.65</v>
      </c>
      <c r="L14" s="17" t="str">
        <f>'Raw Data'!L15</f>
        <v>Fashion</v>
      </c>
      <c r="M14" s="17" t="str">
        <f>'Raw Data'!M15</f>
        <v>Online</v>
      </c>
      <c r="N14" s="17" t="str">
        <f>'Raw Data'!N15</f>
        <v>Returning</v>
      </c>
      <c r="O14" s="17" t="str">
        <f>'Raw Data'!O15</f>
        <v>Medium</v>
      </c>
      <c r="P14" s="17" t="str">
        <f>'Raw Data'!P15</f>
        <v>Low</v>
      </c>
      <c r="Q14" s="36">
        <f>'Raw Data'!Q15</f>
        <v>45324</v>
      </c>
      <c r="R14" s="17" t="str">
        <f ca="1">'Raw Data'!R15</f>
        <v>At Risk</v>
      </c>
      <c r="S14" s="34" t="str">
        <f>IF(B14&lt;25,"18-24",IF(B14&lt;35,"25-34",IF(B14&lt;45,"35-44",IF(B14&lt;55,"45-54","55+"))))</f>
        <v>55+</v>
      </c>
      <c r="T14" s="34" t="str">
        <f>IF(G14&lt;25000,"Low (&lt; ₹25K)",IF(G14&lt;50000,"Mid (₹25K-50K)","High (&gt; ₹50K)"))</f>
        <v>Low (&lt; ₹25K)</v>
      </c>
      <c r="U14" s="34">
        <f ca="1">IFERROR(TODAY()-Q14,"")</f>
        <v>801</v>
      </c>
      <c r="V14" s="34" t="str">
        <f ca="1">IF(AND(U14&lt;60,I14&gt;=12,K14&gt;=80000),"Champions",IF(AND(U14&lt;90,I14&gt;=8,K14&gt;=40000),"Loyal",IF(AND(U14&gt;180,I14&lt;5),"At Risk / Churned",IF(AND(U14&lt;120,I14&gt;=6),"Potential Loyal","Needs Attention"))))</f>
        <v>At Risk / Churned</v>
      </c>
    </row>
    <row r="15" spans="1:22" ht="15" customHeight="1" x14ac:dyDescent="0.2">
      <c r="A15" s="19" t="str">
        <f>'Raw Data'!A16</f>
        <v>CUST0013</v>
      </c>
      <c r="B15" s="19">
        <f>'Raw Data'!B16</f>
        <v>26</v>
      </c>
      <c r="C15" s="19" t="str">
        <f>'Raw Data'!C16</f>
        <v>Male</v>
      </c>
      <c r="D15" s="19" t="str">
        <f>'Raw Data'!D16</f>
        <v>Chennai</v>
      </c>
      <c r="E15" s="19" t="str">
        <f>'Raw Data'!E16</f>
        <v>South</v>
      </c>
      <c r="F15" s="19" t="str">
        <f>'Raw Data'!F16</f>
        <v>High</v>
      </c>
      <c r="G15" s="20">
        <f>'Raw Data'!G16</f>
        <v>111953</v>
      </c>
      <c r="H15" s="19" t="str">
        <f>'Raw Data'!H16</f>
        <v>Business Owner</v>
      </c>
      <c r="I15" s="19">
        <f>'Raw Data'!I16</f>
        <v>8</v>
      </c>
      <c r="J15" s="32">
        <f>'Raw Data'!J16</f>
        <v>6341.57</v>
      </c>
      <c r="K15" s="32">
        <f>'Raw Data'!K16</f>
        <v>50732.56</v>
      </c>
      <c r="L15" s="19" t="str">
        <f>'Raw Data'!L16</f>
        <v>Beauty</v>
      </c>
      <c r="M15" s="19" t="str">
        <f>'Raw Data'!M16</f>
        <v>Offline</v>
      </c>
      <c r="N15" s="19" t="str">
        <f>'Raw Data'!N16</f>
        <v>Returning</v>
      </c>
      <c r="O15" s="19" t="str">
        <f>'Raw Data'!O16</f>
        <v>High</v>
      </c>
      <c r="P15" s="19" t="str">
        <f>'Raw Data'!P16</f>
        <v>Low</v>
      </c>
      <c r="Q15" s="33">
        <f>'Raw Data'!Q16</f>
        <v>45391</v>
      </c>
      <c r="R15" s="19" t="str">
        <f ca="1">'Raw Data'!R16</f>
        <v>General Customer</v>
      </c>
      <c r="S15" s="34" t="str">
        <f>IF(B15&lt;25,"18-24",IF(B15&lt;35,"25-34",IF(B15&lt;45,"35-44",IF(B15&lt;55,"45-54","55+"))))</f>
        <v>25-34</v>
      </c>
      <c r="T15" s="34" t="str">
        <f>IF(G15&lt;25000,"Low (&lt; ₹25K)",IF(G15&lt;50000,"Mid (₹25K-50K)","High (&gt; ₹50K)"))</f>
        <v>High (&gt; ₹50K)</v>
      </c>
      <c r="U15" s="34">
        <f ca="1">IFERROR(TODAY()-Q15,"")</f>
        <v>734</v>
      </c>
      <c r="V15" s="34" t="str">
        <f ca="1">IF(AND(U15&lt;60,I15&gt;=12,K15&gt;=80000),"Champions",IF(AND(U15&lt;90,I15&gt;=8,K15&gt;=40000),"Loyal",IF(AND(U15&gt;180,I15&lt;5),"At Risk / Churned",IF(AND(U15&lt;120,I15&gt;=6),"Potential Loyal","Needs Attention"))))</f>
        <v>Needs Attention</v>
      </c>
    </row>
    <row r="16" spans="1:22" ht="15" customHeight="1" x14ac:dyDescent="0.2">
      <c r="A16" s="17" t="str">
        <f>'Raw Data'!A17</f>
        <v>CUST0014</v>
      </c>
      <c r="B16" s="17">
        <f>'Raw Data'!B17</f>
        <v>59</v>
      </c>
      <c r="C16" s="17" t="str">
        <f>'Raw Data'!C17</f>
        <v>Female</v>
      </c>
      <c r="D16" s="17" t="str">
        <f>'Raw Data'!D17</f>
        <v>Kolkata</v>
      </c>
      <c r="E16" s="17" t="str">
        <f>'Raw Data'!E17</f>
        <v>East</v>
      </c>
      <c r="F16" s="17" t="str">
        <f>'Raw Data'!F17</f>
        <v>Mid</v>
      </c>
      <c r="G16" s="18">
        <f>'Raw Data'!G17</f>
        <v>26986</v>
      </c>
      <c r="H16" s="17" t="str">
        <f>'Raw Data'!H17</f>
        <v>Student</v>
      </c>
      <c r="I16" s="17">
        <f>'Raw Data'!I17</f>
        <v>24</v>
      </c>
      <c r="J16" s="35">
        <f>'Raw Data'!J17</f>
        <v>2912.63</v>
      </c>
      <c r="K16" s="35">
        <f>'Raw Data'!K17</f>
        <v>69903.12</v>
      </c>
      <c r="L16" s="17" t="str">
        <f>'Raw Data'!L17</f>
        <v>Grocery</v>
      </c>
      <c r="M16" s="17" t="str">
        <f>'Raw Data'!M17</f>
        <v>Offline</v>
      </c>
      <c r="N16" s="17" t="str">
        <f>'Raw Data'!N17</f>
        <v>Returning</v>
      </c>
      <c r="O16" s="17" t="str">
        <f>'Raw Data'!O17</f>
        <v>High</v>
      </c>
      <c r="P16" s="17" t="str">
        <f>'Raw Data'!P17</f>
        <v>Low</v>
      </c>
      <c r="Q16" s="36">
        <f>'Raw Data'!Q17</f>
        <v>45486</v>
      </c>
      <c r="R16" s="17" t="str">
        <f ca="1">'Raw Data'!R17</f>
        <v>Loyal Customer</v>
      </c>
      <c r="S16" s="34" t="str">
        <f>IF(B16&lt;25,"18-24",IF(B16&lt;35,"25-34",IF(B16&lt;45,"35-44",IF(B16&lt;55,"45-54","55+"))))</f>
        <v>55+</v>
      </c>
      <c r="T16" s="34" t="str">
        <f>IF(G16&lt;25000,"Low (&lt; ₹25K)",IF(G16&lt;50000,"Mid (₹25K-50K)","High (&gt; ₹50K)"))</f>
        <v>Mid (₹25K-50K)</v>
      </c>
      <c r="U16" s="34">
        <f ca="1">IFERROR(TODAY()-Q16,"")</f>
        <v>639</v>
      </c>
      <c r="V16" s="34" t="str">
        <f ca="1">IF(AND(U16&lt;60,I16&gt;=12,K16&gt;=80000),"Champions",IF(AND(U16&lt;90,I16&gt;=8,K16&gt;=40000),"Loyal",IF(AND(U16&gt;180,I16&lt;5),"At Risk / Churned",IF(AND(U16&lt;120,I16&gt;=6),"Potential Loyal","Needs Attention"))))</f>
        <v>Needs Attention</v>
      </c>
    </row>
    <row r="17" spans="1:22" ht="15" customHeight="1" x14ac:dyDescent="0.2">
      <c r="A17" s="19" t="str">
        <f>'Raw Data'!A18</f>
        <v>CUST0015</v>
      </c>
      <c r="B17" s="19">
        <f>'Raw Data'!B18</f>
        <v>22</v>
      </c>
      <c r="C17" s="19" t="str">
        <f>'Raw Data'!C18</f>
        <v>Male</v>
      </c>
      <c r="D17" s="19" t="str">
        <f>'Raw Data'!D18</f>
        <v>Bangalore</v>
      </c>
      <c r="E17" s="19" t="str">
        <f>'Raw Data'!E18</f>
        <v>South</v>
      </c>
      <c r="F17" s="19" t="str">
        <f>'Raw Data'!F18</f>
        <v>Mid</v>
      </c>
      <c r="G17" s="20">
        <f>'Raw Data'!G18</f>
        <v>43033</v>
      </c>
      <c r="H17" s="19" t="str">
        <f>'Raw Data'!H18</f>
        <v>Business Owner</v>
      </c>
      <c r="I17" s="19">
        <f>'Raw Data'!I18</f>
        <v>2</v>
      </c>
      <c r="J17" s="32">
        <f>'Raw Data'!J18</f>
        <v>5321.52</v>
      </c>
      <c r="K17" s="32">
        <f>'Raw Data'!K18</f>
        <v>10643.04</v>
      </c>
      <c r="L17" s="19" t="str">
        <f>'Raw Data'!L18</f>
        <v>Home &amp; Decor</v>
      </c>
      <c r="M17" s="19" t="str">
        <f>'Raw Data'!M18</f>
        <v>Online</v>
      </c>
      <c r="N17" s="19" t="str">
        <f>'Raw Data'!N18</f>
        <v>Returning</v>
      </c>
      <c r="O17" s="19" t="str">
        <f>'Raw Data'!O18</f>
        <v>Medium</v>
      </c>
      <c r="P17" s="19" t="str">
        <f>'Raw Data'!P18</f>
        <v>Low</v>
      </c>
      <c r="Q17" s="33">
        <f>'Raw Data'!Q18</f>
        <v>45387</v>
      </c>
      <c r="R17" s="19" t="str">
        <f ca="1">'Raw Data'!R18</f>
        <v>At Risk</v>
      </c>
      <c r="S17" s="34" t="str">
        <f>IF(B17&lt;25,"18-24",IF(B17&lt;35,"25-34",IF(B17&lt;45,"35-44",IF(B17&lt;55,"45-54","55+"))))</f>
        <v>18-24</v>
      </c>
      <c r="T17" s="34" t="str">
        <f>IF(G17&lt;25000,"Low (&lt; ₹25K)",IF(G17&lt;50000,"Mid (₹25K-50K)","High (&gt; ₹50K)"))</f>
        <v>Mid (₹25K-50K)</v>
      </c>
      <c r="U17" s="34">
        <f ca="1">IFERROR(TODAY()-Q17,"")</f>
        <v>738</v>
      </c>
      <c r="V17" s="34" t="str">
        <f ca="1">IF(AND(U17&lt;60,I17&gt;=12,K17&gt;=80000),"Champions",IF(AND(U17&lt;90,I17&gt;=8,K17&gt;=40000),"Loyal",IF(AND(U17&gt;180,I17&lt;5),"At Risk / Churned",IF(AND(U17&lt;120,I17&gt;=6),"Potential Loyal","Needs Attention"))))</f>
        <v>At Risk / Churned</v>
      </c>
    </row>
    <row r="18" spans="1:22" ht="15" customHeight="1" x14ac:dyDescent="0.2">
      <c r="A18" s="17" t="str">
        <f>'Raw Data'!A19</f>
        <v>CUST0016</v>
      </c>
      <c r="B18" s="17">
        <f>'Raw Data'!B19</f>
        <v>43</v>
      </c>
      <c r="C18" s="17" t="str">
        <f>'Raw Data'!C19</f>
        <v>Male</v>
      </c>
      <c r="D18" s="17" t="str">
        <f>'Raw Data'!D19</f>
        <v>Kolkata</v>
      </c>
      <c r="E18" s="17" t="str">
        <f>'Raw Data'!E19</f>
        <v>East</v>
      </c>
      <c r="F18" s="17" t="str">
        <f>'Raw Data'!F19</f>
        <v>Mid</v>
      </c>
      <c r="G18" s="18">
        <f>'Raw Data'!G19</f>
        <v>26921</v>
      </c>
      <c r="H18" s="17" t="str">
        <f>'Raw Data'!H19</f>
        <v>Business Owner</v>
      </c>
      <c r="I18" s="17">
        <f>'Raw Data'!I19</f>
        <v>13</v>
      </c>
      <c r="J18" s="35">
        <f>'Raw Data'!J19</f>
        <v>316.60000000000002</v>
      </c>
      <c r="K18" s="35">
        <f>'Raw Data'!K19</f>
        <v>4115.8</v>
      </c>
      <c r="L18" s="17" t="str">
        <f>'Raw Data'!L19</f>
        <v>Travel</v>
      </c>
      <c r="M18" s="17" t="str">
        <f>'Raw Data'!M19</f>
        <v>Online</v>
      </c>
      <c r="N18" s="17" t="str">
        <f>'Raw Data'!N19</f>
        <v>New</v>
      </c>
      <c r="O18" s="17" t="str">
        <f>'Raw Data'!O19</f>
        <v>Medium</v>
      </c>
      <c r="P18" s="17" t="str">
        <f>'Raw Data'!P19</f>
        <v>High</v>
      </c>
      <c r="Q18" s="36">
        <f>'Raw Data'!Q19</f>
        <v>45757</v>
      </c>
      <c r="R18" s="17" t="str">
        <f ca="1">'Raw Data'!R19</f>
        <v>Bargain Seeker</v>
      </c>
      <c r="S18" s="34" t="str">
        <f>IF(B18&lt;25,"18-24",IF(B18&lt;35,"25-34",IF(B18&lt;45,"35-44",IF(B18&lt;55,"45-54","55+"))))</f>
        <v>35-44</v>
      </c>
      <c r="T18" s="34" t="str">
        <f>IF(G18&lt;25000,"Low (&lt; ₹25K)",IF(G18&lt;50000,"Mid (₹25K-50K)","High (&gt; ₹50K)"))</f>
        <v>Mid (₹25K-50K)</v>
      </c>
      <c r="U18" s="34">
        <f ca="1">IFERROR(TODAY()-Q18,"")</f>
        <v>368</v>
      </c>
      <c r="V18" s="34" t="str">
        <f ca="1">IF(AND(U18&lt;60,I18&gt;=12,K18&gt;=80000),"Champions",IF(AND(U18&lt;90,I18&gt;=8,K18&gt;=40000),"Loyal",IF(AND(U18&gt;180,I18&lt;5),"At Risk / Churned",IF(AND(U18&lt;120,I18&gt;=6),"Potential Loyal","Needs Attention"))))</f>
        <v>Needs Attention</v>
      </c>
    </row>
    <row r="19" spans="1:22" ht="15" customHeight="1" x14ac:dyDescent="0.2">
      <c r="A19" s="19" t="str">
        <f>'Raw Data'!A20</f>
        <v>CUST0017</v>
      </c>
      <c r="B19" s="19">
        <f>'Raw Data'!B20</f>
        <v>55</v>
      </c>
      <c r="C19" s="19" t="str">
        <f>'Raw Data'!C20</f>
        <v>Other</v>
      </c>
      <c r="D19" s="19" t="str">
        <f>'Raw Data'!D20</f>
        <v>Hyderabad</v>
      </c>
      <c r="E19" s="19" t="str">
        <f>'Raw Data'!E20</f>
        <v>South</v>
      </c>
      <c r="F19" s="19" t="str">
        <f>'Raw Data'!F20</f>
        <v>Mid</v>
      </c>
      <c r="G19" s="20">
        <f>'Raw Data'!G20</f>
        <v>42766</v>
      </c>
      <c r="H19" s="19" t="str">
        <f>'Raw Data'!H20</f>
        <v>Salaried</v>
      </c>
      <c r="I19" s="19">
        <f>'Raw Data'!I20</f>
        <v>24</v>
      </c>
      <c r="J19" s="32">
        <f>'Raw Data'!J20</f>
        <v>2714.76</v>
      </c>
      <c r="K19" s="32">
        <f>'Raw Data'!K20</f>
        <v>65154.239999999998</v>
      </c>
      <c r="L19" s="19" t="str">
        <f>'Raw Data'!L20</f>
        <v>Fashion</v>
      </c>
      <c r="M19" s="19" t="str">
        <f>'Raw Data'!M20</f>
        <v>Online</v>
      </c>
      <c r="N19" s="19" t="str">
        <f>'Raw Data'!N20</f>
        <v>New</v>
      </c>
      <c r="O19" s="19" t="str">
        <f>'Raw Data'!O20</f>
        <v>Low</v>
      </c>
      <c r="P19" s="19" t="str">
        <f>'Raw Data'!P20</f>
        <v>Medium</v>
      </c>
      <c r="Q19" s="33">
        <f>'Raw Data'!Q20</f>
        <v>45835</v>
      </c>
      <c r="R19" s="19" t="str">
        <f ca="1">'Raw Data'!R20</f>
        <v>Loyal Customer</v>
      </c>
      <c r="S19" s="34" t="str">
        <f>IF(B19&lt;25,"18-24",IF(B19&lt;35,"25-34",IF(B19&lt;45,"35-44",IF(B19&lt;55,"45-54","55+"))))</f>
        <v>55+</v>
      </c>
      <c r="T19" s="34" t="str">
        <f>IF(G19&lt;25000,"Low (&lt; ₹25K)",IF(G19&lt;50000,"Mid (₹25K-50K)","High (&gt; ₹50K)"))</f>
        <v>Mid (₹25K-50K)</v>
      </c>
      <c r="U19" s="34">
        <f ca="1">IFERROR(TODAY()-Q19,"")</f>
        <v>290</v>
      </c>
      <c r="V19" s="34" t="str">
        <f ca="1">IF(AND(U19&lt;60,I19&gt;=12,K19&gt;=80000),"Champions",IF(AND(U19&lt;90,I19&gt;=8,K19&gt;=40000),"Loyal",IF(AND(U19&gt;180,I19&lt;5),"At Risk / Churned",IF(AND(U19&lt;120,I19&gt;=6),"Potential Loyal","Needs Attention"))))</f>
        <v>Needs Attention</v>
      </c>
    </row>
    <row r="20" spans="1:22" ht="15" customHeight="1" x14ac:dyDescent="0.2">
      <c r="A20" s="17" t="str">
        <f>'Raw Data'!A21</f>
        <v>CUST0018</v>
      </c>
      <c r="B20" s="17">
        <f>'Raw Data'!B21</f>
        <v>33</v>
      </c>
      <c r="C20" s="17" t="str">
        <f>'Raw Data'!C21</f>
        <v>Female</v>
      </c>
      <c r="D20" s="17" t="str">
        <f>'Raw Data'!D21</f>
        <v>Delhi</v>
      </c>
      <c r="E20" s="17" t="str">
        <f>'Raw Data'!E21</f>
        <v>North</v>
      </c>
      <c r="F20" s="17" t="str">
        <f>'Raw Data'!F21</f>
        <v>High</v>
      </c>
      <c r="G20" s="18">
        <f>'Raw Data'!G21</f>
        <v>82271</v>
      </c>
      <c r="H20" s="17" t="str">
        <f>'Raw Data'!H21</f>
        <v>Student</v>
      </c>
      <c r="I20" s="17">
        <f>'Raw Data'!I21</f>
        <v>19</v>
      </c>
      <c r="J20" s="35">
        <f>'Raw Data'!J21</f>
        <v>4877.8</v>
      </c>
      <c r="K20" s="35">
        <f>'Raw Data'!K21</f>
        <v>92678.2</v>
      </c>
      <c r="L20" s="17" t="str">
        <f>'Raw Data'!L21</f>
        <v>Beauty</v>
      </c>
      <c r="M20" s="17" t="str">
        <f>'Raw Data'!M21</f>
        <v>Offline</v>
      </c>
      <c r="N20" s="17" t="str">
        <f>'Raw Data'!N21</f>
        <v>Returning</v>
      </c>
      <c r="O20" s="17" t="str">
        <f>'Raw Data'!O21</f>
        <v>Medium</v>
      </c>
      <c r="P20" s="17" t="str">
        <f>'Raw Data'!P21</f>
        <v>Medium</v>
      </c>
      <c r="Q20" s="36">
        <f>'Raw Data'!Q21</f>
        <v>45889</v>
      </c>
      <c r="R20" s="17" t="str">
        <f ca="1">'Raw Data'!R21</f>
        <v>Loyal Customer</v>
      </c>
      <c r="S20" s="34" t="str">
        <f>IF(B20&lt;25,"18-24",IF(B20&lt;35,"25-34",IF(B20&lt;45,"35-44",IF(B20&lt;55,"45-54","55+"))))</f>
        <v>25-34</v>
      </c>
      <c r="T20" s="34" t="str">
        <f>IF(G20&lt;25000,"Low (&lt; ₹25K)",IF(G20&lt;50000,"Mid (₹25K-50K)","High (&gt; ₹50K)"))</f>
        <v>High (&gt; ₹50K)</v>
      </c>
      <c r="U20" s="34">
        <f ca="1">IFERROR(TODAY()-Q20,"")</f>
        <v>236</v>
      </c>
      <c r="V20" s="34" t="str">
        <f ca="1">IF(AND(U20&lt;60,I20&gt;=12,K20&gt;=80000),"Champions",IF(AND(U20&lt;90,I20&gt;=8,K20&gt;=40000),"Loyal",IF(AND(U20&gt;180,I20&lt;5),"At Risk / Churned",IF(AND(U20&lt;120,I20&gt;=6),"Potential Loyal","Needs Attention"))))</f>
        <v>Needs Attention</v>
      </c>
    </row>
    <row r="21" spans="1:22" ht="15" customHeight="1" x14ac:dyDescent="0.2">
      <c r="A21" s="19" t="str">
        <f>'Raw Data'!A22</f>
        <v>CUST0019</v>
      </c>
      <c r="B21" s="19">
        <f>'Raw Data'!B22</f>
        <v>43</v>
      </c>
      <c r="C21" s="19" t="str">
        <f>'Raw Data'!C22</f>
        <v>Male</v>
      </c>
      <c r="D21" s="19" t="str">
        <f>'Raw Data'!D22</f>
        <v>Hyderabad</v>
      </c>
      <c r="E21" s="19" t="str">
        <f>'Raw Data'!E22</f>
        <v>South</v>
      </c>
      <c r="F21" s="19" t="str">
        <f>'Raw Data'!F22</f>
        <v>High</v>
      </c>
      <c r="G21" s="20">
        <f>'Raw Data'!G22</f>
        <v>89321</v>
      </c>
      <c r="H21" s="19" t="str">
        <f>'Raw Data'!H22</f>
        <v>Self-Employed</v>
      </c>
      <c r="I21" s="19">
        <f>'Raw Data'!I22</f>
        <v>15</v>
      </c>
      <c r="J21" s="32">
        <f>'Raw Data'!J22</f>
        <v>2734.56</v>
      </c>
      <c r="K21" s="32">
        <f>'Raw Data'!K22</f>
        <v>41018.400000000001</v>
      </c>
      <c r="L21" s="19" t="str">
        <f>'Raw Data'!L22</f>
        <v>Fashion</v>
      </c>
      <c r="M21" s="19" t="str">
        <f>'Raw Data'!M22</f>
        <v>Online</v>
      </c>
      <c r="N21" s="19" t="str">
        <f>'Raw Data'!N22</f>
        <v>Returning</v>
      </c>
      <c r="O21" s="19" t="str">
        <f>'Raw Data'!O22</f>
        <v>High</v>
      </c>
      <c r="P21" s="19" t="str">
        <f>'Raw Data'!P22</f>
        <v>Low</v>
      </c>
      <c r="Q21" s="33">
        <f>'Raw Data'!Q22</f>
        <v>45761</v>
      </c>
      <c r="R21" s="19" t="str">
        <f ca="1">'Raw Data'!R22</f>
        <v>General Customer</v>
      </c>
      <c r="S21" s="34" t="str">
        <f>IF(B21&lt;25,"18-24",IF(B21&lt;35,"25-34",IF(B21&lt;45,"35-44",IF(B21&lt;55,"45-54","55+"))))</f>
        <v>35-44</v>
      </c>
      <c r="T21" s="34" t="str">
        <f>IF(G21&lt;25000,"Low (&lt; ₹25K)",IF(G21&lt;50000,"Mid (₹25K-50K)","High (&gt; ₹50K)"))</f>
        <v>High (&gt; ₹50K)</v>
      </c>
      <c r="U21" s="34">
        <f ca="1">IFERROR(TODAY()-Q21,"")</f>
        <v>364</v>
      </c>
      <c r="V21" s="34" t="str">
        <f ca="1">IF(AND(U21&lt;60,I21&gt;=12,K21&gt;=80000),"Champions",IF(AND(U21&lt;90,I21&gt;=8,K21&gt;=40000),"Loyal",IF(AND(U21&gt;180,I21&lt;5),"At Risk / Churned",IF(AND(U21&lt;120,I21&gt;=6),"Potential Loyal","Needs Attention"))))</f>
        <v>Needs Attention</v>
      </c>
    </row>
    <row r="22" spans="1:22" ht="15" customHeight="1" x14ac:dyDescent="0.2">
      <c r="A22" s="17" t="str">
        <f>'Raw Data'!A23</f>
        <v>CUST0020</v>
      </c>
      <c r="B22" s="17">
        <f>'Raw Data'!B23</f>
        <v>40</v>
      </c>
      <c r="C22" s="17" t="str">
        <f>'Raw Data'!C23</f>
        <v>Male</v>
      </c>
      <c r="D22" s="17" t="str">
        <f>'Raw Data'!D23</f>
        <v>Jaipur</v>
      </c>
      <c r="E22" s="17" t="str">
        <f>'Raw Data'!E23</f>
        <v>North</v>
      </c>
      <c r="F22" s="17" t="str">
        <f>'Raw Data'!F23</f>
        <v>Low</v>
      </c>
      <c r="G22" s="18">
        <f>'Raw Data'!G23</f>
        <v>24432</v>
      </c>
      <c r="H22" s="17" t="str">
        <f>'Raw Data'!H23</f>
        <v>Freelancer</v>
      </c>
      <c r="I22" s="17">
        <f>'Raw Data'!I23</f>
        <v>12</v>
      </c>
      <c r="J22" s="35">
        <f>'Raw Data'!J23</f>
        <v>2494.4</v>
      </c>
      <c r="K22" s="35">
        <f>'Raw Data'!K23</f>
        <v>29932.799999999999</v>
      </c>
      <c r="L22" s="17" t="str">
        <f>'Raw Data'!L23</f>
        <v>Electronics</v>
      </c>
      <c r="M22" s="17" t="str">
        <f>'Raw Data'!M23</f>
        <v>Offline</v>
      </c>
      <c r="N22" s="17" t="str">
        <f>'Raw Data'!N23</f>
        <v>Returning</v>
      </c>
      <c r="O22" s="17" t="str">
        <f>'Raw Data'!O23</f>
        <v>Medium</v>
      </c>
      <c r="P22" s="17" t="str">
        <f>'Raw Data'!P23</f>
        <v>Medium</v>
      </c>
      <c r="Q22" s="36">
        <f>'Raw Data'!Q23</f>
        <v>45601</v>
      </c>
      <c r="R22" s="17" t="str">
        <f ca="1">'Raw Data'!R23</f>
        <v>General Customer</v>
      </c>
      <c r="S22" s="34" t="str">
        <f>IF(B22&lt;25,"18-24",IF(B22&lt;35,"25-34",IF(B22&lt;45,"35-44",IF(B22&lt;55,"45-54","55+"))))</f>
        <v>35-44</v>
      </c>
      <c r="T22" s="34" t="str">
        <f>IF(G22&lt;25000,"Low (&lt; ₹25K)",IF(G22&lt;50000,"Mid (₹25K-50K)","High (&gt; ₹50K)"))</f>
        <v>Low (&lt; ₹25K)</v>
      </c>
      <c r="U22" s="34">
        <f ca="1">IFERROR(TODAY()-Q22,"")</f>
        <v>524</v>
      </c>
      <c r="V22" s="34" t="str">
        <f ca="1">IF(AND(U22&lt;60,I22&gt;=12,K22&gt;=80000),"Champions",IF(AND(U22&lt;90,I22&gt;=8,K22&gt;=40000),"Loyal",IF(AND(U22&gt;180,I22&lt;5),"At Risk / Churned",IF(AND(U22&lt;120,I22&gt;=6),"Potential Loyal","Needs Attention"))))</f>
        <v>Needs Attention</v>
      </c>
    </row>
    <row r="23" spans="1:22" ht="15" customHeight="1" x14ac:dyDescent="0.2">
      <c r="A23" s="19" t="str">
        <f>'Raw Data'!A24</f>
        <v>CUST0021</v>
      </c>
      <c r="B23" s="19">
        <f>'Raw Data'!B24</f>
        <v>24</v>
      </c>
      <c r="C23" s="19" t="str">
        <f>'Raw Data'!C24</f>
        <v>Male</v>
      </c>
      <c r="D23" s="19" t="str">
        <f>'Raw Data'!D24</f>
        <v>Delhi</v>
      </c>
      <c r="E23" s="19" t="str">
        <f>'Raw Data'!E24</f>
        <v>North</v>
      </c>
      <c r="F23" s="19" t="str">
        <f>'Raw Data'!F24</f>
        <v>Low</v>
      </c>
      <c r="G23" s="20">
        <f>'Raw Data'!G24</f>
        <v>22163</v>
      </c>
      <c r="H23" s="19" t="str">
        <f>'Raw Data'!H24</f>
        <v>Self-Employed</v>
      </c>
      <c r="I23" s="19">
        <f>'Raw Data'!I24</f>
        <v>9</v>
      </c>
      <c r="J23" s="32">
        <f>'Raw Data'!J24</f>
        <v>2469.52</v>
      </c>
      <c r="K23" s="32">
        <f>'Raw Data'!K24</f>
        <v>22225.68</v>
      </c>
      <c r="L23" s="19" t="str">
        <f>'Raw Data'!L24</f>
        <v>Sports</v>
      </c>
      <c r="M23" s="19" t="str">
        <f>'Raw Data'!M24</f>
        <v>Offline</v>
      </c>
      <c r="N23" s="19" t="str">
        <f>'Raw Data'!N24</f>
        <v>Returning</v>
      </c>
      <c r="O23" s="19" t="str">
        <f>'Raw Data'!O24</f>
        <v>Low</v>
      </c>
      <c r="P23" s="19" t="str">
        <f>'Raw Data'!P24</f>
        <v>Medium</v>
      </c>
      <c r="Q23" s="33">
        <f>'Raw Data'!Q24</f>
        <v>45995</v>
      </c>
      <c r="R23" s="19" t="str">
        <f ca="1">'Raw Data'!R24</f>
        <v>General Customer</v>
      </c>
      <c r="S23" s="34" t="str">
        <f>IF(B23&lt;25,"18-24",IF(B23&lt;35,"25-34",IF(B23&lt;45,"35-44",IF(B23&lt;55,"45-54","55+"))))</f>
        <v>18-24</v>
      </c>
      <c r="T23" s="34" t="str">
        <f>IF(G23&lt;25000,"Low (&lt; ₹25K)",IF(G23&lt;50000,"Mid (₹25K-50K)","High (&gt; ₹50K)"))</f>
        <v>Low (&lt; ₹25K)</v>
      </c>
      <c r="U23" s="34">
        <f ca="1">IFERROR(TODAY()-Q23,"")</f>
        <v>130</v>
      </c>
      <c r="V23" s="34" t="str">
        <f ca="1">IF(AND(U23&lt;60,I23&gt;=12,K23&gt;=80000),"Champions",IF(AND(U23&lt;90,I23&gt;=8,K23&gt;=40000),"Loyal",IF(AND(U23&gt;180,I23&lt;5),"At Risk / Churned",IF(AND(U23&lt;120,I23&gt;=6),"Potential Loyal","Needs Attention"))))</f>
        <v>Needs Attention</v>
      </c>
    </row>
    <row r="24" spans="1:22" ht="15" customHeight="1" x14ac:dyDescent="0.2">
      <c r="A24" s="17" t="str">
        <f>'Raw Data'!A25</f>
        <v>CUST0022</v>
      </c>
      <c r="B24" s="17">
        <f>'Raw Data'!B25</f>
        <v>35</v>
      </c>
      <c r="C24" s="17" t="str">
        <f>'Raw Data'!C25</f>
        <v>Female</v>
      </c>
      <c r="D24" s="17" t="str">
        <f>'Raw Data'!D25</f>
        <v>Chennai</v>
      </c>
      <c r="E24" s="17" t="str">
        <f>'Raw Data'!E25</f>
        <v>South</v>
      </c>
      <c r="F24" s="17" t="str">
        <f>'Raw Data'!F25</f>
        <v>Low</v>
      </c>
      <c r="G24" s="18">
        <f>'Raw Data'!G25</f>
        <v>10722</v>
      </c>
      <c r="H24" s="17" t="str">
        <f>'Raw Data'!H25</f>
        <v>Student</v>
      </c>
      <c r="I24" s="17">
        <f>'Raw Data'!I25</f>
        <v>5</v>
      </c>
      <c r="J24" s="35">
        <f>'Raw Data'!J25</f>
        <v>5205.7700000000004</v>
      </c>
      <c r="K24" s="35">
        <f>'Raw Data'!K25</f>
        <v>26028.85</v>
      </c>
      <c r="L24" s="17" t="str">
        <f>'Raw Data'!L25</f>
        <v>Electronics</v>
      </c>
      <c r="M24" s="17" t="str">
        <f>'Raw Data'!M25</f>
        <v>Online</v>
      </c>
      <c r="N24" s="17" t="str">
        <f>'Raw Data'!N25</f>
        <v>Returning</v>
      </c>
      <c r="O24" s="17" t="str">
        <f>'Raw Data'!O25</f>
        <v>Medium</v>
      </c>
      <c r="P24" s="17" t="str">
        <f>'Raw Data'!P25</f>
        <v>High</v>
      </c>
      <c r="Q24" s="36">
        <f>'Raw Data'!Q25</f>
        <v>45856</v>
      </c>
      <c r="R24" s="17" t="str">
        <f ca="1">'Raw Data'!R25</f>
        <v>General Customer</v>
      </c>
      <c r="S24" s="34" t="str">
        <f>IF(B24&lt;25,"18-24",IF(B24&lt;35,"25-34",IF(B24&lt;45,"35-44",IF(B24&lt;55,"45-54","55+"))))</f>
        <v>35-44</v>
      </c>
      <c r="T24" s="34" t="str">
        <f>IF(G24&lt;25000,"Low (&lt; ₹25K)",IF(G24&lt;50000,"Mid (₹25K-50K)","High (&gt; ₹50K)"))</f>
        <v>Low (&lt; ₹25K)</v>
      </c>
      <c r="U24" s="34">
        <f ca="1">IFERROR(TODAY()-Q24,"")</f>
        <v>269</v>
      </c>
      <c r="V24" s="34" t="str">
        <f ca="1">IF(AND(U24&lt;60,I24&gt;=12,K24&gt;=80000),"Champions",IF(AND(U24&lt;90,I24&gt;=8,K24&gt;=40000),"Loyal",IF(AND(U24&gt;180,I24&lt;5),"At Risk / Churned",IF(AND(U24&lt;120,I24&gt;=6),"Potential Loyal","Needs Attention"))))</f>
        <v>Needs Attention</v>
      </c>
    </row>
    <row r="25" spans="1:22" ht="15" customHeight="1" x14ac:dyDescent="0.2">
      <c r="A25" s="19" t="str">
        <f>'Raw Data'!A26</f>
        <v>CUST0023</v>
      </c>
      <c r="B25" s="19">
        <f>'Raw Data'!B26</f>
        <v>41</v>
      </c>
      <c r="C25" s="19" t="str">
        <f>'Raw Data'!C26</f>
        <v>Female</v>
      </c>
      <c r="D25" s="19" t="str">
        <f>'Raw Data'!D26</f>
        <v>Delhi</v>
      </c>
      <c r="E25" s="19" t="str">
        <f>'Raw Data'!E26</f>
        <v>North</v>
      </c>
      <c r="F25" s="19" t="str">
        <f>'Raw Data'!F26</f>
        <v>High</v>
      </c>
      <c r="G25" s="20">
        <f>'Raw Data'!G26</f>
        <v>69410</v>
      </c>
      <c r="H25" s="19" t="str">
        <f>'Raw Data'!H26</f>
        <v>Salaried</v>
      </c>
      <c r="I25" s="19">
        <f>'Raw Data'!I26</f>
        <v>14</v>
      </c>
      <c r="J25" s="32">
        <f>'Raw Data'!J26</f>
        <v>1281.33</v>
      </c>
      <c r="K25" s="32">
        <f>'Raw Data'!K26</f>
        <v>17938.62</v>
      </c>
      <c r="L25" s="19" t="str">
        <f>'Raw Data'!L26</f>
        <v>Home &amp; Decor</v>
      </c>
      <c r="M25" s="19" t="str">
        <f>'Raw Data'!M26</f>
        <v>Online</v>
      </c>
      <c r="N25" s="19" t="str">
        <f>'Raw Data'!N26</f>
        <v>Returning</v>
      </c>
      <c r="O25" s="19" t="str">
        <f>'Raw Data'!O26</f>
        <v>Medium</v>
      </c>
      <c r="P25" s="19" t="str">
        <f>'Raw Data'!P26</f>
        <v>High</v>
      </c>
      <c r="Q25" s="33">
        <f>'Raw Data'!Q26</f>
        <v>45332</v>
      </c>
      <c r="R25" s="19" t="str">
        <f ca="1">'Raw Data'!R26</f>
        <v>Bargain Seeker</v>
      </c>
      <c r="S25" s="34" t="str">
        <f>IF(B25&lt;25,"18-24",IF(B25&lt;35,"25-34",IF(B25&lt;45,"35-44",IF(B25&lt;55,"45-54","55+"))))</f>
        <v>35-44</v>
      </c>
      <c r="T25" s="34" t="str">
        <f>IF(G25&lt;25000,"Low (&lt; ₹25K)",IF(G25&lt;50000,"Mid (₹25K-50K)","High (&gt; ₹50K)"))</f>
        <v>High (&gt; ₹50K)</v>
      </c>
      <c r="U25" s="34">
        <f ca="1">IFERROR(TODAY()-Q25,"")</f>
        <v>793</v>
      </c>
      <c r="V25" s="34" t="str">
        <f ca="1">IF(AND(U25&lt;60,I25&gt;=12,K25&gt;=80000),"Champions",IF(AND(U25&lt;90,I25&gt;=8,K25&gt;=40000),"Loyal",IF(AND(U25&gt;180,I25&lt;5),"At Risk / Churned",IF(AND(U25&lt;120,I25&gt;=6),"Potential Loyal","Needs Attention"))))</f>
        <v>Needs Attention</v>
      </c>
    </row>
    <row r="26" spans="1:22" ht="15" customHeight="1" x14ac:dyDescent="0.2">
      <c r="A26" s="17" t="str">
        <f>'Raw Data'!A27</f>
        <v>CUST0024</v>
      </c>
      <c r="B26" s="17">
        <f>'Raw Data'!B27</f>
        <v>44</v>
      </c>
      <c r="C26" s="17" t="str">
        <f>'Raw Data'!C27</f>
        <v>Female</v>
      </c>
      <c r="D26" s="17" t="str">
        <f>'Raw Data'!D27</f>
        <v>Delhi</v>
      </c>
      <c r="E26" s="17" t="str">
        <f>'Raw Data'!E27</f>
        <v>North</v>
      </c>
      <c r="F26" s="17" t="str">
        <f>'Raw Data'!F27</f>
        <v>Mid</v>
      </c>
      <c r="G26" s="18">
        <f>'Raw Data'!G27</f>
        <v>49558</v>
      </c>
      <c r="H26" s="17" t="str">
        <f>'Raw Data'!H27</f>
        <v>Freelancer</v>
      </c>
      <c r="I26" s="17">
        <f>'Raw Data'!I27</f>
        <v>8</v>
      </c>
      <c r="J26" s="35">
        <f>'Raw Data'!J27</f>
        <v>6957.46</v>
      </c>
      <c r="K26" s="35">
        <f>'Raw Data'!K27</f>
        <v>55659.68</v>
      </c>
      <c r="L26" s="17" t="str">
        <f>'Raw Data'!L27</f>
        <v>Beauty</v>
      </c>
      <c r="M26" s="17" t="str">
        <f>'Raw Data'!M27</f>
        <v>Offline</v>
      </c>
      <c r="N26" s="17" t="str">
        <f>'Raw Data'!N27</f>
        <v>New</v>
      </c>
      <c r="O26" s="17" t="str">
        <f>'Raw Data'!O27</f>
        <v>High</v>
      </c>
      <c r="P26" s="17" t="str">
        <f>'Raw Data'!P27</f>
        <v>High</v>
      </c>
      <c r="Q26" s="36">
        <f>'Raw Data'!Q27</f>
        <v>45714</v>
      </c>
      <c r="R26" s="17" t="str">
        <f ca="1">'Raw Data'!R27</f>
        <v>General Customer</v>
      </c>
      <c r="S26" s="34" t="str">
        <f>IF(B26&lt;25,"18-24",IF(B26&lt;35,"25-34",IF(B26&lt;45,"35-44",IF(B26&lt;55,"45-54","55+"))))</f>
        <v>35-44</v>
      </c>
      <c r="T26" s="34" t="str">
        <f>IF(G26&lt;25000,"Low (&lt; ₹25K)",IF(G26&lt;50000,"Mid (₹25K-50K)","High (&gt; ₹50K)"))</f>
        <v>Mid (₹25K-50K)</v>
      </c>
      <c r="U26" s="34">
        <f ca="1">IFERROR(TODAY()-Q26,"")</f>
        <v>411</v>
      </c>
      <c r="V26" s="34" t="str">
        <f ca="1">IF(AND(U26&lt;60,I26&gt;=12,K26&gt;=80000),"Champions",IF(AND(U26&lt;90,I26&gt;=8,K26&gt;=40000),"Loyal",IF(AND(U26&gt;180,I26&lt;5),"At Risk / Churned",IF(AND(U26&lt;120,I26&gt;=6),"Potential Loyal","Needs Attention"))))</f>
        <v>Needs Attention</v>
      </c>
    </row>
    <row r="27" spans="1:22" ht="15" customHeight="1" x14ac:dyDescent="0.2">
      <c r="A27" s="19" t="str">
        <f>'Raw Data'!A28</f>
        <v>CUST0025</v>
      </c>
      <c r="B27" s="19">
        <f>'Raw Data'!B28</f>
        <v>24</v>
      </c>
      <c r="C27" s="19" t="str">
        <f>'Raw Data'!C28</f>
        <v>Female</v>
      </c>
      <c r="D27" s="19" t="str">
        <f>'Raw Data'!D28</f>
        <v>Hyderabad</v>
      </c>
      <c r="E27" s="19" t="str">
        <f>'Raw Data'!E28</f>
        <v>South</v>
      </c>
      <c r="F27" s="19" t="str">
        <f>'Raw Data'!F28</f>
        <v>Mid</v>
      </c>
      <c r="G27" s="20">
        <f>'Raw Data'!G28</f>
        <v>26268</v>
      </c>
      <c r="H27" s="19" t="str">
        <f>'Raw Data'!H28</f>
        <v>Salaried</v>
      </c>
      <c r="I27" s="19">
        <f>'Raw Data'!I28</f>
        <v>8</v>
      </c>
      <c r="J27" s="32">
        <f>'Raw Data'!J28</f>
        <v>1836.71</v>
      </c>
      <c r="K27" s="32">
        <f>'Raw Data'!K28</f>
        <v>14693.68</v>
      </c>
      <c r="L27" s="19" t="str">
        <f>'Raw Data'!L28</f>
        <v>Home &amp; Decor</v>
      </c>
      <c r="M27" s="19" t="str">
        <f>'Raw Data'!M28</f>
        <v>Offline</v>
      </c>
      <c r="N27" s="19" t="str">
        <f>'Raw Data'!N28</f>
        <v>New</v>
      </c>
      <c r="O27" s="19" t="str">
        <f>'Raw Data'!O28</f>
        <v>High</v>
      </c>
      <c r="P27" s="19" t="str">
        <f>'Raw Data'!P28</f>
        <v>Medium</v>
      </c>
      <c r="Q27" s="33">
        <f>'Raw Data'!Q28</f>
        <v>45525</v>
      </c>
      <c r="R27" s="19" t="str">
        <f ca="1">'Raw Data'!R28</f>
        <v>General Customer</v>
      </c>
      <c r="S27" s="34" t="str">
        <f>IF(B27&lt;25,"18-24",IF(B27&lt;35,"25-34",IF(B27&lt;45,"35-44",IF(B27&lt;55,"45-54","55+"))))</f>
        <v>18-24</v>
      </c>
      <c r="T27" s="34" t="str">
        <f>IF(G27&lt;25000,"Low (&lt; ₹25K)",IF(G27&lt;50000,"Mid (₹25K-50K)","High (&gt; ₹50K)"))</f>
        <v>Mid (₹25K-50K)</v>
      </c>
      <c r="U27" s="34">
        <f ca="1">IFERROR(TODAY()-Q27,"")</f>
        <v>600</v>
      </c>
      <c r="V27" s="34" t="str">
        <f ca="1">IF(AND(U27&lt;60,I27&gt;=12,K27&gt;=80000),"Champions",IF(AND(U27&lt;90,I27&gt;=8,K27&gt;=40000),"Loyal",IF(AND(U27&gt;180,I27&lt;5),"At Risk / Churned",IF(AND(U27&lt;120,I27&gt;=6),"Potential Loyal","Needs Attention"))))</f>
        <v>Needs Attention</v>
      </c>
    </row>
    <row r="28" spans="1:22" ht="15" customHeight="1" x14ac:dyDescent="0.2">
      <c r="A28" s="17" t="str">
        <f>'Raw Data'!A29</f>
        <v>CUST0026</v>
      </c>
      <c r="B28" s="17">
        <f>'Raw Data'!B29</f>
        <v>35</v>
      </c>
      <c r="C28" s="17" t="str">
        <f>'Raw Data'!C29</f>
        <v>Other</v>
      </c>
      <c r="D28" s="17" t="str">
        <f>'Raw Data'!D29</f>
        <v>Pune</v>
      </c>
      <c r="E28" s="17" t="str">
        <f>'Raw Data'!E29</f>
        <v>West</v>
      </c>
      <c r="F28" s="17" t="str">
        <f>'Raw Data'!F29</f>
        <v>Mid</v>
      </c>
      <c r="G28" s="18">
        <f>'Raw Data'!G29</f>
        <v>46020</v>
      </c>
      <c r="H28" s="17" t="str">
        <f>'Raw Data'!H29</f>
        <v>Student</v>
      </c>
      <c r="I28" s="17">
        <f>'Raw Data'!I29</f>
        <v>13</v>
      </c>
      <c r="J28" s="35">
        <f>'Raw Data'!J29</f>
        <v>5532.29</v>
      </c>
      <c r="K28" s="35">
        <f>'Raw Data'!K29</f>
        <v>71919.77</v>
      </c>
      <c r="L28" s="17" t="str">
        <f>'Raw Data'!L29</f>
        <v>Sports</v>
      </c>
      <c r="M28" s="17" t="str">
        <f>'Raw Data'!M29</f>
        <v>Online</v>
      </c>
      <c r="N28" s="17" t="str">
        <f>'Raw Data'!N29</f>
        <v>New</v>
      </c>
      <c r="O28" s="17" t="str">
        <f>'Raw Data'!O29</f>
        <v>High</v>
      </c>
      <c r="P28" s="17" t="str">
        <f>'Raw Data'!P29</f>
        <v>Medium</v>
      </c>
      <c r="Q28" s="36">
        <f>'Raw Data'!Q29</f>
        <v>45320</v>
      </c>
      <c r="R28" s="17" t="str">
        <f ca="1">'Raw Data'!R29</f>
        <v>Loyal Customer</v>
      </c>
      <c r="S28" s="34" t="str">
        <f>IF(B28&lt;25,"18-24",IF(B28&lt;35,"25-34",IF(B28&lt;45,"35-44",IF(B28&lt;55,"45-54","55+"))))</f>
        <v>35-44</v>
      </c>
      <c r="T28" s="34" t="str">
        <f>IF(G28&lt;25000,"Low (&lt; ₹25K)",IF(G28&lt;50000,"Mid (₹25K-50K)","High (&gt; ₹50K)"))</f>
        <v>Mid (₹25K-50K)</v>
      </c>
      <c r="U28" s="34">
        <f ca="1">IFERROR(TODAY()-Q28,"")</f>
        <v>805</v>
      </c>
      <c r="V28" s="34" t="str">
        <f ca="1">IF(AND(U28&lt;60,I28&gt;=12,K28&gt;=80000),"Champions",IF(AND(U28&lt;90,I28&gt;=8,K28&gt;=40000),"Loyal",IF(AND(U28&gt;180,I28&lt;5),"At Risk / Churned",IF(AND(U28&lt;120,I28&gt;=6),"Potential Loyal","Needs Attention"))))</f>
        <v>Needs Attention</v>
      </c>
    </row>
    <row r="29" spans="1:22" ht="15" customHeight="1" x14ac:dyDescent="0.2">
      <c r="A29" s="19" t="str">
        <f>'Raw Data'!A30</f>
        <v>CUST0027</v>
      </c>
      <c r="B29" s="19">
        <f>'Raw Data'!B30</f>
        <v>45</v>
      </c>
      <c r="C29" s="19" t="str">
        <f>'Raw Data'!C30</f>
        <v>Male</v>
      </c>
      <c r="D29" s="19" t="str">
        <f>'Raw Data'!D30</f>
        <v>Lucknow</v>
      </c>
      <c r="E29" s="19" t="str">
        <f>'Raw Data'!E30</f>
        <v>North</v>
      </c>
      <c r="F29" s="19" t="str">
        <f>'Raw Data'!F30</f>
        <v>Mid</v>
      </c>
      <c r="G29" s="20">
        <f>'Raw Data'!G30</f>
        <v>48872</v>
      </c>
      <c r="H29" s="19" t="str">
        <f>'Raw Data'!H30</f>
        <v>Student</v>
      </c>
      <c r="I29" s="19">
        <f>'Raw Data'!I30</f>
        <v>14</v>
      </c>
      <c r="J29" s="32">
        <f>'Raw Data'!J30</f>
        <v>4967.8100000000004</v>
      </c>
      <c r="K29" s="32">
        <f>'Raw Data'!K30</f>
        <v>69549.34</v>
      </c>
      <c r="L29" s="19" t="str">
        <f>'Raw Data'!L30</f>
        <v>Electronics</v>
      </c>
      <c r="M29" s="19" t="str">
        <f>'Raw Data'!M30</f>
        <v>Offline</v>
      </c>
      <c r="N29" s="19" t="str">
        <f>'Raw Data'!N30</f>
        <v>New</v>
      </c>
      <c r="O29" s="19" t="str">
        <f>'Raw Data'!O30</f>
        <v>Medium</v>
      </c>
      <c r="P29" s="19" t="str">
        <f>'Raw Data'!P30</f>
        <v>Medium</v>
      </c>
      <c r="Q29" s="33">
        <f>'Raw Data'!Q30</f>
        <v>45882</v>
      </c>
      <c r="R29" s="19" t="str">
        <f ca="1">'Raw Data'!R30</f>
        <v>Loyal Customer</v>
      </c>
      <c r="S29" s="34" t="str">
        <f>IF(B29&lt;25,"18-24",IF(B29&lt;35,"25-34",IF(B29&lt;45,"35-44",IF(B29&lt;55,"45-54","55+"))))</f>
        <v>45-54</v>
      </c>
      <c r="T29" s="34" t="str">
        <f>IF(G29&lt;25000,"Low (&lt; ₹25K)",IF(G29&lt;50000,"Mid (₹25K-50K)","High (&gt; ₹50K)"))</f>
        <v>Mid (₹25K-50K)</v>
      </c>
      <c r="U29" s="34">
        <f ca="1">IFERROR(TODAY()-Q29,"")</f>
        <v>243</v>
      </c>
      <c r="V29" s="34" t="str">
        <f ca="1">IF(AND(U29&lt;60,I29&gt;=12,K29&gt;=80000),"Champions",IF(AND(U29&lt;90,I29&gt;=8,K29&gt;=40000),"Loyal",IF(AND(U29&gt;180,I29&lt;5),"At Risk / Churned",IF(AND(U29&lt;120,I29&gt;=6),"Potential Loyal","Needs Attention"))))</f>
        <v>Needs Attention</v>
      </c>
    </row>
    <row r="30" spans="1:22" ht="15" customHeight="1" x14ac:dyDescent="0.2">
      <c r="A30" s="17" t="str">
        <f>'Raw Data'!A31</f>
        <v>CUST0028</v>
      </c>
      <c r="B30" s="17">
        <f>'Raw Data'!B31</f>
        <v>65</v>
      </c>
      <c r="C30" s="17" t="str">
        <f>'Raw Data'!C31</f>
        <v>Female</v>
      </c>
      <c r="D30" s="17" t="str">
        <f>'Raw Data'!D31</f>
        <v>Mumbai</v>
      </c>
      <c r="E30" s="17" t="str">
        <f>'Raw Data'!E31</f>
        <v>West</v>
      </c>
      <c r="F30" s="17" t="str">
        <f>'Raw Data'!F31</f>
        <v>High</v>
      </c>
      <c r="G30" s="18">
        <f>'Raw Data'!G31</f>
        <v>75825</v>
      </c>
      <c r="H30" s="17" t="str">
        <f>'Raw Data'!H31</f>
        <v>Freelancer</v>
      </c>
      <c r="I30" s="17">
        <f>'Raw Data'!I31</f>
        <v>12</v>
      </c>
      <c r="J30" s="35">
        <f>'Raw Data'!J31</f>
        <v>3620.99</v>
      </c>
      <c r="K30" s="35">
        <f>'Raw Data'!K31</f>
        <v>43451.88</v>
      </c>
      <c r="L30" s="17" t="str">
        <f>'Raw Data'!L31</f>
        <v>Fashion</v>
      </c>
      <c r="M30" s="17" t="str">
        <f>'Raw Data'!M31</f>
        <v>Offline</v>
      </c>
      <c r="N30" s="17" t="str">
        <f>'Raw Data'!N31</f>
        <v>New</v>
      </c>
      <c r="O30" s="17" t="str">
        <f>'Raw Data'!O31</f>
        <v>High</v>
      </c>
      <c r="P30" s="17" t="str">
        <f>'Raw Data'!P31</f>
        <v>High</v>
      </c>
      <c r="Q30" s="36">
        <f>'Raw Data'!Q31</f>
        <v>45930</v>
      </c>
      <c r="R30" s="17" t="str">
        <f ca="1">'Raw Data'!R31</f>
        <v>General Customer</v>
      </c>
      <c r="S30" s="34" t="str">
        <f>IF(B30&lt;25,"18-24",IF(B30&lt;35,"25-34",IF(B30&lt;45,"35-44",IF(B30&lt;55,"45-54","55+"))))</f>
        <v>55+</v>
      </c>
      <c r="T30" s="34" t="str">
        <f>IF(G30&lt;25000,"Low (&lt; ₹25K)",IF(G30&lt;50000,"Mid (₹25K-50K)","High (&gt; ₹50K)"))</f>
        <v>High (&gt; ₹50K)</v>
      </c>
      <c r="U30" s="34">
        <f ca="1">IFERROR(TODAY()-Q30,"")</f>
        <v>195</v>
      </c>
      <c r="V30" s="34" t="str">
        <f ca="1">IF(AND(U30&lt;60,I30&gt;=12,K30&gt;=80000),"Champions",IF(AND(U30&lt;90,I30&gt;=8,K30&gt;=40000),"Loyal",IF(AND(U30&gt;180,I30&lt;5),"At Risk / Churned",IF(AND(U30&lt;120,I30&gt;=6),"Potential Loyal","Needs Attention"))))</f>
        <v>Needs Attention</v>
      </c>
    </row>
    <row r="31" spans="1:22" ht="15" customHeight="1" x14ac:dyDescent="0.2">
      <c r="A31" s="19" t="str">
        <f>'Raw Data'!A32</f>
        <v>CUST0029</v>
      </c>
      <c r="B31" s="19">
        <f>'Raw Data'!B32</f>
        <v>62</v>
      </c>
      <c r="C31" s="19" t="str">
        <f>'Raw Data'!C32</f>
        <v>Male</v>
      </c>
      <c r="D31" s="19" t="str">
        <f>'Raw Data'!D32</f>
        <v>Jaipur</v>
      </c>
      <c r="E31" s="19" t="str">
        <f>'Raw Data'!E32</f>
        <v>North</v>
      </c>
      <c r="F31" s="19" t="str">
        <f>'Raw Data'!F32</f>
        <v>Mid</v>
      </c>
      <c r="G31" s="20">
        <f>'Raw Data'!G32</f>
        <v>43166</v>
      </c>
      <c r="H31" s="19" t="str">
        <f>'Raw Data'!H32</f>
        <v>Business Owner</v>
      </c>
      <c r="I31" s="19">
        <f>'Raw Data'!I32</f>
        <v>7</v>
      </c>
      <c r="J31" s="32">
        <f>'Raw Data'!J32</f>
        <v>3537.44</v>
      </c>
      <c r="K31" s="32">
        <f>'Raw Data'!K32</f>
        <v>24762.080000000002</v>
      </c>
      <c r="L31" s="19" t="str">
        <f>'Raw Data'!L32</f>
        <v>Sports</v>
      </c>
      <c r="M31" s="19" t="str">
        <f>'Raw Data'!M32</f>
        <v>Offline</v>
      </c>
      <c r="N31" s="19" t="str">
        <f>'Raw Data'!N32</f>
        <v>Returning</v>
      </c>
      <c r="O31" s="19" t="str">
        <f>'Raw Data'!O32</f>
        <v>High</v>
      </c>
      <c r="P31" s="19" t="str">
        <f>'Raw Data'!P32</f>
        <v>Medium</v>
      </c>
      <c r="Q31" s="33">
        <f>'Raw Data'!Q32</f>
        <v>45470</v>
      </c>
      <c r="R31" s="19" t="str">
        <f ca="1">'Raw Data'!R32</f>
        <v>General Customer</v>
      </c>
      <c r="S31" s="34" t="str">
        <f>IF(B31&lt;25,"18-24",IF(B31&lt;35,"25-34",IF(B31&lt;45,"35-44",IF(B31&lt;55,"45-54","55+"))))</f>
        <v>55+</v>
      </c>
      <c r="T31" s="34" t="str">
        <f>IF(G31&lt;25000,"Low (&lt; ₹25K)",IF(G31&lt;50000,"Mid (₹25K-50K)","High (&gt; ₹50K)"))</f>
        <v>Mid (₹25K-50K)</v>
      </c>
      <c r="U31" s="34">
        <f ca="1">IFERROR(TODAY()-Q31,"")</f>
        <v>655</v>
      </c>
      <c r="V31" s="34" t="str">
        <f ca="1">IF(AND(U31&lt;60,I31&gt;=12,K31&gt;=80000),"Champions",IF(AND(U31&lt;90,I31&gt;=8,K31&gt;=40000),"Loyal",IF(AND(U31&gt;180,I31&lt;5),"At Risk / Churned",IF(AND(U31&lt;120,I31&gt;=6),"Potential Loyal","Needs Attention"))))</f>
        <v>Needs Attention</v>
      </c>
    </row>
    <row r="32" spans="1:22" ht="15" customHeight="1" x14ac:dyDescent="0.2">
      <c r="A32" s="17" t="str">
        <f>'Raw Data'!A33</f>
        <v>CUST0030</v>
      </c>
      <c r="B32" s="17">
        <f>'Raw Data'!B33</f>
        <v>45</v>
      </c>
      <c r="C32" s="17" t="str">
        <f>'Raw Data'!C33</f>
        <v>Male</v>
      </c>
      <c r="D32" s="17" t="str">
        <f>'Raw Data'!D33</f>
        <v>Jaipur</v>
      </c>
      <c r="E32" s="17" t="str">
        <f>'Raw Data'!E33</f>
        <v>North</v>
      </c>
      <c r="F32" s="17" t="str">
        <f>'Raw Data'!F33</f>
        <v>Low</v>
      </c>
      <c r="G32" s="18">
        <f>'Raw Data'!G33</f>
        <v>22873</v>
      </c>
      <c r="H32" s="17" t="str">
        <f>'Raw Data'!H33</f>
        <v>Self-Employed</v>
      </c>
      <c r="I32" s="17">
        <f>'Raw Data'!I33</f>
        <v>15</v>
      </c>
      <c r="J32" s="35">
        <f>'Raw Data'!J33</f>
        <v>3701.75</v>
      </c>
      <c r="K32" s="35">
        <f>'Raw Data'!K33</f>
        <v>55526.25</v>
      </c>
      <c r="L32" s="17" t="str">
        <f>'Raw Data'!L33</f>
        <v>Sports</v>
      </c>
      <c r="M32" s="17" t="str">
        <f>'Raw Data'!M33</f>
        <v>Offline</v>
      </c>
      <c r="N32" s="17" t="str">
        <f>'Raw Data'!N33</f>
        <v>Returning</v>
      </c>
      <c r="O32" s="17" t="str">
        <f>'Raw Data'!O33</f>
        <v>Medium</v>
      </c>
      <c r="P32" s="17" t="str">
        <f>'Raw Data'!P33</f>
        <v>Medium</v>
      </c>
      <c r="Q32" s="36">
        <f>'Raw Data'!Q33</f>
        <v>45465</v>
      </c>
      <c r="R32" s="17" t="str">
        <f ca="1">'Raw Data'!R33</f>
        <v>Loyal Customer</v>
      </c>
      <c r="S32" s="34" t="str">
        <f>IF(B32&lt;25,"18-24",IF(B32&lt;35,"25-34",IF(B32&lt;45,"35-44",IF(B32&lt;55,"45-54","55+"))))</f>
        <v>45-54</v>
      </c>
      <c r="T32" s="34" t="str">
        <f>IF(G32&lt;25000,"Low (&lt; ₹25K)",IF(G32&lt;50000,"Mid (₹25K-50K)","High (&gt; ₹50K)"))</f>
        <v>Low (&lt; ₹25K)</v>
      </c>
      <c r="U32" s="34">
        <f ca="1">IFERROR(TODAY()-Q32,"")</f>
        <v>660</v>
      </c>
      <c r="V32" s="34" t="str">
        <f ca="1">IF(AND(U32&lt;60,I32&gt;=12,K32&gt;=80000),"Champions",IF(AND(U32&lt;90,I32&gt;=8,K32&gt;=40000),"Loyal",IF(AND(U32&gt;180,I32&lt;5),"At Risk / Churned",IF(AND(U32&lt;120,I32&gt;=6),"Potential Loyal","Needs Attention"))))</f>
        <v>Needs Attention</v>
      </c>
    </row>
    <row r="33" spans="1:22" ht="15" customHeight="1" x14ac:dyDescent="0.2">
      <c r="A33" s="19" t="str">
        <f>'Raw Data'!A34</f>
        <v>CUST0031</v>
      </c>
      <c r="B33" s="19">
        <f>'Raw Data'!B34</f>
        <v>30</v>
      </c>
      <c r="C33" s="19" t="str">
        <f>'Raw Data'!C34</f>
        <v>Male</v>
      </c>
      <c r="D33" s="19" t="str">
        <f>'Raw Data'!D34</f>
        <v>Delhi</v>
      </c>
      <c r="E33" s="19" t="str">
        <f>'Raw Data'!E34</f>
        <v>North</v>
      </c>
      <c r="F33" s="19" t="str">
        <f>'Raw Data'!F34</f>
        <v>Low</v>
      </c>
      <c r="G33" s="20">
        <f>'Raw Data'!G34</f>
        <v>12414</v>
      </c>
      <c r="H33" s="19" t="str">
        <f>'Raw Data'!H34</f>
        <v>Self-Employed</v>
      </c>
      <c r="I33" s="19">
        <f>'Raw Data'!I34</f>
        <v>8</v>
      </c>
      <c r="J33" s="32">
        <f>'Raw Data'!J34</f>
        <v>7876.31</v>
      </c>
      <c r="K33" s="32">
        <f>'Raw Data'!K34</f>
        <v>63010.48</v>
      </c>
      <c r="L33" s="19" t="str">
        <f>'Raw Data'!L34</f>
        <v>Home &amp; Decor</v>
      </c>
      <c r="M33" s="19" t="str">
        <f>'Raw Data'!M34</f>
        <v>Offline</v>
      </c>
      <c r="N33" s="19" t="str">
        <f>'Raw Data'!N34</f>
        <v>Returning</v>
      </c>
      <c r="O33" s="19" t="str">
        <f>'Raw Data'!O34</f>
        <v>Medium</v>
      </c>
      <c r="P33" s="19" t="str">
        <f>'Raw Data'!P34</f>
        <v>High</v>
      </c>
      <c r="Q33" s="33">
        <f>'Raw Data'!Q34</f>
        <v>45758</v>
      </c>
      <c r="R33" s="19" t="str">
        <f ca="1">'Raw Data'!R34</f>
        <v>General Customer</v>
      </c>
      <c r="S33" s="34" t="str">
        <f>IF(B33&lt;25,"18-24",IF(B33&lt;35,"25-34",IF(B33&lt;45,"35-44",IF(B33&lt;55,"45-54","55+"))))</f>
        <v>25-34</v>
      </c>
      <c r="T33" s="34" t="str">
        <f>IF(G33&lt;25000,"Low (&lt; ₹25K)",IF(G33&lt;50000,"Mid (₹25K-50K)","High (&gt; ₹50K)"))</f>
        <v>Low (&lt; ₹25K)</v>
      </c>
      <c r="U33" s="34">
        <f ca="1">IFERROR(TODAY()-Q33,"")</f>
        <v>367</v>
      </c>
      <c r="V33" s="34" t="str">
        <f ca="1">IF(AND(U33&lt;60,I33&gt;=12,K33&gt;=80000),"Champions",IF(AND(U33&lt;90,I33&gt;=8,K33&gt;=40000),"Loyal",IF(AND(U33&gt;180,I33&lt;5),"At Risk / Churned",IF(AND(U33&lt;120,I33&gt;=6),"Potential Loyal","Needs Attention"))))</f>
        <v>Needs Attention</v>
      </c>
    </row>
    <row r="34" spans="1:22" ht="15" customHeight="1" x14ac:dyDescent="0.2">
      <c r="A34" s="17" t="str">
        <f>'Raw Data'!A35</f>
        <v>CUST0032</v>
      </c>
      <c r="B34" s="17">
        <f>'Raw Data'!B35</f>
        <v>62</v>
      </c>
      <c r="C34" s="17" t="str">
        <f>'Raw Data'!C35</f>
        <v>Male</v>
      </c>
      <c r="D34" s="17" t="str">
        <f>'Raw Data'!D35</f>
        <v>Ahmedabad</v>
      </c>
      <c r="E34" s="17" t="str">
        <f>'Raw Data'!E35</f>
        <v>West</v>
      </c>
      <c r="F34" s="17" t="str">
        <f>'Raw Data'!F35</f>
        <v>Mid</v>
      </c>
      <c r="G34" s="18">
        <f>'Raw Data'!G35</f>
        <v>49607</v>
      </c>
      <c r="H34" s="17" t="str">
        <f>'Raw Data'!H35</f>
        <v>Salaried</v>
      </c>
      <c r="I34" s="17">
        <f>'Raw Data'!I35</f>
        <v>14</v>
      </c>
      <c r="J34" s="35">
        <f>'Raw Data'!J35</f>
        <v>1985.08</v>
      </c>
      <c r="K34" s="35">
        <f>'Raw Data'!K35</f>
        <v>27791.119999999999</v>
      </c>
      <c r="L34" s="17" t="str">
        <f>'Raw Data'!L35</f>
        <v>Home &amp; Decor</v>
      </c>
      <c r="M34" s="17" t="str">
        <f>'Raw Data'!M35</f>
        <v>Online</v>
      </c>
      <c r="N34" s="17" t="str">
        <f>'Raw Data'!N35</f>
        <v>New</v>
      </c>
      <c r="O34" s="17" t="str">
        <f>'Raw Data'!O35</f>
        <v>High</v>
      </c>
      <c r="P34" s="17" t="str">
        <f>'Raw Data'!P35</f>
        <v>Medium</v>
      </c>
      <c r="Q34" s="36">
        <f>'Raw Data'!Q35</f>
        <v>45767</v>
      </c>
      <c r="R34" s="17" t="str">
        <f ca="1">'Raw Data'!R35</f>
        <v>General Customer</v>
      </c>
      <c r="S34" s="34" t="str">
        <f>IF(B34&lt;25,"18-24",IF(B34&lt;35,"25-34",IF(B34&lt;45,"35-44",IF(B34&lt;55,"45-54","55+"))))</f>
        <v>55+</v>
      </c>
      <c r="T34" s="34" t="str">
        <f>IF(G34&lt;25000,"Low (&lt; ₹25K)",IF(G34&lt;50000,"Mid (₹25K-50K)","High (&gt; ₹50K)"))</f>
        <v>Mid (₹25K-50K)</v>
      </c>
      <c r="U34" s="34">
        <f ca="1">IFERROR(TODAY()-Q34,"")</f>
        <v>358</v>
      </c>
      <c r="V34" s="34" t="str">
        <f ca="1">IF(AND(U34&lt;60,I34&gt;=12,K34&gt;=80000),"Champions",IF(AND(U34&lt;90,I34&gt;=8,K34&gt;=40000),"Loyal",IF(AND(U34&gt;180,I34&lt;5),"At Risk / Churned",IF(AND(U34&lt;120,I34&gt;=6),"Potential Loyal","Needs Attention"))))</f>
        <v>Needs Attention</v>
      </c>
    </row>
    <row r="35" spans="1:22" ht="15" customHeight="1" x14ac:dyDescent="0.2">
      <c r="A35" s="19" t="str">
        <f>'Raw Data'!A36</f>
        <v>CUST0033</v>
      </c>
      <c r="B35" s="19">
        <f>'Raw Data'!B36</f>
        <v>53</v>
      </c>
      <c r="C35" s="19" t="str">
        <f>'Raw Data'!C36</f>
        <v>Female</v>
      </c>
      <c r="D35" s="19" t="str">
        <f>'Raw Data'!D36</f>
        <v>Ahmedabad</v>
      </c>
      <c r="E35" s="19" t="str">
        <f>'Raw Data'!E36</f>
        <v>West</v>
      </c>
      <c r="F35" s="19" t="str">
        <f>'Raw Data'!F36</f>
        <v>Low</v>
      </c>
      <c r="G35" s="20">
        <f>'Raw Data'!G36</f>
        <v>19755</v>
      </c>
      <c r="H35" s="19" t="str">
        <f>'Raw Data'!H36</f>
        <v>Business Owner</v>
      </c>
      <c r="I35" s="19">
        <f>'Raw Data'!I36</f>
        <v>20</v>
      </c>
      <c r="J35" s="32">
        <f>'Raw Data'!J36</f>
        <v>6575.55</v>
      </c>
      <c r="K35" s="32">
        <f>'Raw Data'!K36</f>
        <v>131511</v>
      </c>
      <c r="L35" s="19" t="str">
        <f>'Raw Data'!L36</f>
        <v>Grocery</v>
      </c>
      <c r="M35" s="19" t="str">
        <f>'Raw Data'!M36</f>
        <v>Offline</v>
      </c>
      <c r="N35" s="19" t="str">
        <f>'Raw Data'!N36</f>
        <v>Returning</v>
      </c>
      <c r="O35" s="19" t="str">
        <f>'Raw Data'!O36</f>
        <v>High</v>
      </c>
      <c r="P35" s="19" t="str">
        <f>'Raw Data'!P36</f>
        <v>Medium</v>
      </c>
      <c r="Q35" s="33">
        <f>'Raw Data'!Q36</f>
        <v>45853</v>
      </c>
      <c r="R35" s="19" t="str">
        <f ca="1">'Raw Data'!R36</f>
        <v>Premium Customer</v>
      </c>
      <c r="S35" s="34" t="str">
        <f>IF(B35&lt;25,"18-24",IF(B35&lt;35,"25-34",IF(B35&lt;45,"35-44",IF(B35&lt;55,"45-54","55+"))))</f>
        <v>45-54</v>
      </c>
      <c r="T35" s="34" t="str">
        <f>IF(G35&lt;25000,"Low (&lt; ₹25K)",IF(G35&lt;50000,"Mid (₹25K-50K)","High (&gt; ₹50K)"))</f>
        <v>Low (&lt; ₹25K)</v>
      </c>
      <c r="U35" s="34">
        <f ca="1">IFERROR(TODAY()-Q35,"")</f>
        <v>272</v>
      </c>
      <c r="V35" s="34" t="str">
        <f ca="1">IF(AND(U35&lt;60,I35&gt;=12,K35&gt;=80000),"Champions",IF(AND(U35&lt;90,I35&gt;=8,K35&gt;=40000),"Loyal",IF(AND(U35&gt;180,I35&lt;5),"At Risk / Churned",IF(AND(U35&lt;120,I35&gt;=6),"Potential Loyal","Needs Attention"))))</f>
        <v>Needs Attention</v>
      </c>
    </row>
    <row r="36" spans="1:22" ht="15" customHeight="1" x14ac:dyDescent="0.2">
      <c r="A36" s="17" t="str">
        <f>'Raw Data'!A37</f>
        <v>CUST0034</v>
      </c>
      <c r="B36" s="17">
        <f>'Raw Data'!B37</f>
        <v>35</v>
      </c>
      <c r="C36" s="17" t="str">
        <f>'Raw Data'!C37</f>
        <v>Female</v>
      </c>
      <c r="D36" s="17" t="str">
        <f>'Raw Data'!D37</f>
        <v>Ahmedabad</v>
      </c>
      <c r="E36" s="17" t="str">
        <f>'Raw Data'!E37</f>
        <v>West</v>
      </c>
      <c r="F36" s="17" t="str">
        <f>'Raw Data'!F37</f>
        <v>Mid</v>
      </c>
      <c r="G36" s="18">
        <f>'Raw Data'!G37</f>
        <v>42081</v>
      </c>
      <c r="H36" s="17" t="str">
        <f>'Raw Data'!H37</f>
        <v>Salaried</v>
      </c>
      <c r="I36" s="17">
        <f>'Raw Data'!I37</f>
        <v>21</v>
      </c>
      <c r="J36" s="35">
        <f>'Raw Data'!J37</f>
        <v>2142.19</v>
      </c>
      <c r="K36" s="35">
        <f>'Raw Data'!K37</f>
        <v>44985.99</v>
      </c>
      <c r="L36" s="17" t="str">
        <f>'Raw Data'!L37</f>
        <v>Beauty</v>
      </c>
      <c r="M36" s="17" t="str">
        <f>'Raw Data'!M37</f>
        <v>Online</v>
      </c>
      <c r="N36" s="17" t="str">
        <f>'Raw Data'!N37</f>
        <v>New</v>
      </c>
      <c r="O36" s="17" t="str">
        <f>'Raw Data'!O37</f>
        <v>Medium</v>
      </c>
      <c r="P36" s="17" t="str">
        <f>'Raw Data'!P37</f>
        <v>High</v>
      </c>
      <c r="Q36" s="36">
        <f>'Raw Data'!Q37</f>
        <v>45532</v>
      </c>
      <c r="R36" s="17" t="str">
        <f ca="1">'Raw Data'!R37</f>
        <v>General Customer</v>
      </c>
      <c r="S36" s="34" t="str">
        <f>IF(B36&lt;25,"18-24",IF(B36&lt;35,"25-34",IF(B36&lt;45,"35-44",IF(B36&lt;55,"45-54","55+"))))</f>
        <v>35-44</v>
      </c>
      <c r="T36" s="34" t="str">
        <f>IF(G36&lt;25000,"Low (&lt; ₹25K)",IF(G36&lt;50000,"Mid (₹25K-50K)","High (&gt; ₹50K)"))</f>
        <v>Mid (₹25K-50K)</v>
      </c>
      <c r="U36" s="34">
        <f ca="1">IFERROR(TODAY()-Q36,"")</f>
        <v>593</v>
      </c>
      <c r="V36" s="34" t="str">
        <f ca="1">IF(AND(U36&lt;60,I36&gt;=12,K36&gt;=80000),"Champions",IF(AND(U36&lt;90,I36&gt;=8,K36&gt;=40000),"Loyal",IF(AND(U36&gt;180,I36&lt;5),"At Risk / Churned",IF(AND(U36&lt;120,I36&gt;=6),"Potential Loyal","Needs Attention"))))</f>
        <v>Needs Attention</v>
      </c>
    </row>
    <row r="37" spans="1:22" ht="15" customHeight="1" x14ac:dyDescent="0.2">
      <c r="A37" s="19" t="str">
        <f>'Raw Data'!A38</f>
        <v>CUST0035</v>
      </c>
      <c r="B37" s="19">
        <f>'Raw Data'!B38</f>
        <v>27</v>
      </c>
      <c r="C37" s="19" t="str">
        <f>'Raw Data'!C38</f>
        <v>Male</v>
      </c>
      <c r="D37" s="19" t="str">
        <f>'Raw Data'!D38</f>
        <v>Bangalore</v>
      </c>
      <c r="E37" s="19" t="str">
        <f>'Raw Data'!E38</f>
        <v>South</v>
      </c>
      <c r="F37" s="19" t="str">
        <f>'Raw Data'!F38</f>
        <v>Low</v>
      </c>
      <c r="G37" s="20">
        <f>'Raw Data'!G38</f>
        <v>21573</v>
      </c>
      <c r="H37" s="19" t="str">
        <f>'Raw Data'!H38</f>
        <v>Salaried</v>
      </c>
      <c r="I37" s="19">
        <f>'Raw Data'!I38</f>
        <v>14</v>
      </c>
      <c r="J37" s="32">
        <f>'Raw Data'!J38</f>
        <v>3438.52</v>
      </c>
      <c r="K37" s="32">
        <f>'Raw Data'!K38</f>
        <v>48139.28</v>
      </c>
      <c r="L37" s="19" t="str">
        <f>'Raw Data'!L38</f>
        <v>Books</v>
      </c>
      <c r="M37" s="19" t="str">
        <f>'Raw Data'!M38</f>
        <v>Online</v>
      </c>
      <c r="N37" s="19" t="str">
        <f>'Raw Data'!N38</f>
        <v>Returning</v>
      </c>
      <c r="O37" s="19" t="str">
        <f>'Raw Data'!O38</f>
        <v>Medium</v>
      </c>
      <c r="P37" s="19" t="str">
        <f>'Raw Data'!P38</f>
        <v>Medium</v>
      </c>
      <c r="Q37" s="33">
        <f>'Raw Data'!Q38</f>
        <v>45503</v>
      </c>
      <c r="R37" s="19" t="str">
        <f ca="1">'Raw Data'!R38</f>
        <v>General Customer</v>
      </c>
      <c r="S37" s="34" t="str">
        <f>IF(B37&lt;25,"18-24",IF(B37&lt;35,"25-34",IF(B37&lt;45,"35-44",IF(B37&lt;55,"45-54","55+"))))</f>
        <v>25-34</v>
      </c>
      <c r="T37" s="34" t="str">
        <f>IF(G37&lt;25000,"Low (&lt; ₹25K)",IF(G37&lt;50000,"Mid (₹25K-50K)","High (&gt; ₹50K)"))</f>
        <v>Low (&lt; ₹25K)</v>
      </c>
      <c r="U37" s="34">
        <f ca="1">IFERROR(TODAY()-Q37,"")</f>
        <v>622</v>
      </c>
      <c r="V37" s="34" t="str">
        <f ca="1">IF(AND(U37&lt;60,I37&gt;=12,K37&gt;=80000),"Champions",IF(AND(U37&lt;90,I37&gt;=8,K37&gt;=40000),"Loyal",IF(AND(U37&gt;180,I37&lt;5),"At Risk / Churned",IF(AND(U37&lt;120,I37&gt;=6),"Potential Loyal","Needs Attention"))))</f>
        <v>Needs Attention</v>
      </c>
    </row>
    <row r="38" spans="1:22" ht="15" customHeight="1" x14ac:dyDescent="0.2">
      <c r="A38" s="17" t="str">
        <f>'Raw Data'!A39</f>
        <v>CUST0036</v>
      </c>
      <c r="B38" s="17">
        <f>'Raw Data'!B39</f>
        <v>40</v>
      </c>
      <c r="C38" s="17" t="str">
        <f>'Raw Data'!C39</f>
        <v>Male</v>
      </c>
      <c r="D38" s="17" t="str">
        <f>'Raw Data'!D39</f>
        <v>Lucknow</v>
      </c>
      <c r="E38" s="17" t="str">
        <f>'Raw Data'!E39</f>
        <v>North</v>
      </c>
      <c r="F38" s="17" t="str">
        <f>'Raw Data'!F39</f>
        <v>Mid</v>
      </c>
      <c r="G38" s="18">
        <f>'Raw Data'!G39</f>
        <v>49689</v>
      </c>
      <c r="H38" s="17" t="str">
        <f>'Raw Data'!H39</f>
        <v>Business Owner</v>
      </c>
      <c r="I38" s="17">
        <f>'Raw Data'!I39</f>
        <v>14</v>
      </c>
      <c r="J38" s="35">
        <f>'Raw Data'!J39</f>
        <v>4444.3</v>
      </c>
      <c r="K38" s="35">
        <f>'Raw Data'!K39</f>
        <v>62220.2</v>
      </c>
      <c r="L38" s="17" t="str">
        <f>'Raw Data'!L39</f>
        <v>Sports</v>
      </c>
      <c r="M38" s="17" t="str">
        <f>'Raw Data'!M39</f>
        <v>Offline</v>
      </c>
      <c r="N38" s="17" t="str">
        <f>'Raw Data'!N39</f>
        <v>Returning</v>
      </c>
      <c r="O38" s="17" t="str">
        <f>'Raw Data'!O39</f>
        <v>High</v>
      </c>
      <c r="P38" s="17" t="str">
        <f>'Raw Data'!P39</f>
        <v>High</v>
      </c>
      <c r="Q38" s="36">
        <f>'Raw Data'!Q39</f>
        <v>45517</v>
      </c>
      <c r="R38" s="17" t="str">
        <f ca="1">'Raw Data'!R39</f>
        <v>Loyal Customer</v>
      </c>
      <c r="S38" s="34" t="str">
        <f>IF(B38&lt;25,"18-24",IF(B38&lt;35,"25-34",IF(B38&lt;45,"35-44",IF(B38&lt;55,"45-54","55+"))))</f>
        <v>35-44</v>
      </c>
      <c r="T38" s="34" t="str">
        <f>IF(G38&lt;25000,"Low (&lt; ₹25K)",IF(G38&lt;50000,"Mid (₹25K-50K)","High (&gt; ₹50K)"))</f>
        <v>Mid (₹25K-50K)</v>
      </c>
      <c r="U38" s="34">
        <f ca="1">IFERROR(TODAY()-Q38,"")</f>
        <v>608</v>
      </c>
      <c r="V38" s="34" t="str">
        <f ca="1">IF(AND(U38&lt;60,I38&gt;=12,K38&gt;=80000),"Champions",IF(AND(U38&lt;90,I38&gt;=8,K38&gt;=40000),"Loyal",IF(AND(U38&gt;180,I38&lt;5),"At Risk / Churned",IF(AND(U38&lt;120,I38&gt;=6),"Potential Loyal","Needs Attention"))))</f>
        <v>Needs Attention</v>
      </c>
    </row>
    <row r="39" spans="1:22" ht="15" customHeight="1" x14ac:dyDescent="0.2">
      <c r="A39" s="19" t="str">
        <f>'Raw Data'!A40</f>
        <v>CUST0037</v>
      </c>
      <c r="B39" s="19">
        <f>'Raw Data'!B40</f>
        <v>61</v>
      </c>
      <c r="C39" s="19" t="str">
        <f>'Raw Data'!C40</f>
        <v>Male</v>
      </c>
      <c r="D39" s="19" t="str">
        <f>'Raw Data'!D40</f>
        <v>Ahmedabad</v>
      </c>
      <c r="E39" s="19" t="str">
        <f>'Raw Data'!E40</f>
        <v>West</v>
      </c>
      <c r="F39" s="19" t="str">
        <f>'Raw Data'!F40</f>
        <v>Low</v>
      </c>
      <c r="G39" s="20">
        <f>'Raw Data'!G40</f>
        <v>23076</v>
      </c>
      <c r="H39" s="19" t="str">
        <f>'Raw Data'!H40</f>
        <v>Business Owner</v>
      </c>
      <c r="I39" s="19">
        <f>'Raw Data'!I40</f>
        <v>15</v>
      </c>
      <c r="J39" s="32">
        <f>'Raw Data'!J40</f>
        <v>7380.47</v>
      </c>
      <c r="K39" s="32">
        <f>'Raw Data'!K40</f>
        <v>110707.05</v>
      </c>
      <c r="L39" s="19" t="str">
        <f>'Raw Data'!L40</f>
        <v>Electronics</v>
      </c>
      <c r="M39" s="19" t="str">
        <f>'Raw Data'!M40</f>
        <v>Online</v>
      </c>
      <c r="N39" s="19" t="str">
        <f>'Raw Data'!N40</f>
        <v>Returning</v>
      </c>
      <c r="O39" s="19" t="str">
        <f>'Raw Data'!O40</f>
        <v>High</v>
      </c>
      <c r="P39" s="19" t="str">
        <f>'Raw Data'!P40</f>
        <v>Medium</v>
      </c>
      <c r="Q39" s="33">
        <f>'Raw Data'!Q40</f>
        <v>45695</v>
      </c>
      <c r="R39" s="19" t="str">
        <f ca="1">'Raw Data'!R40</f>
        <v>Premium Customer</v>
      </c>
      <c r="S39" s="34" t="str">
        <f>IF(B39&lt;25,"18-24",IF(B39&lt;35,"25-34",IF(B39&lt;45,"35-44",IF(B39&lt;55,"45-54","55+"))))</f>
        <v>55+</v>
      </c>
      <c r="T39" s="34" t="str">
        <f>IF(G39&lt;25000,"Low (&lt; ₹25K)",IF(G39&lt;50000,"Mid (₹25K-50K)","High (&gt; ₹50K)"))</f>
        <v>Low (&lt; ₹25K)</v>
      </c>
      <c r="U39" s="34">
        <f ca="1">IFERROR(TODAY()-Q39,"")</f>
        <v>430</v>
      </c>
      <c r="V39" s="34" t="str">
        <f ca="1">IF(AND(U39&lt;60,I39&gt;=12,K39&gt;=80000),"Champions",IF(AND(U39&lt;90,I39&gt;=8,K39&gt;=40000),"Loyal",IF(AND(U39&gt;180,I39&lt;5),"At Risk / Churned",IF(AND(U39&lt;120,I39&gt;=6),"Potential Loyal","Needs Attention"))))</f>
        <v>Needs Attention</v>
      </c>
    </row>
    <row r="40" spans="1:22" ht="15" customHeight="1" x14ac:dyDescent="0.2">
      <c r="A40" s="17" t="str">
        <f>'Raw Data'!A41</f>
        <v>CUST0038</v>
      </c>
      <c r="B40" s="17">
        <f>'Raw Data'!B41</f>
        <v>34</v>
      </c>
      <c r="C40" s="17" t="str">
        <f>'Raw Data'!C41</f>
        <v>Male</v>
      </c>
      <c r="D40" s="17" t="str">
        <f>'Raw Data'!D41</f>
        <v>Kolkata</v>
      </c>
      <c r="E40" s="17" t="str">
        <f>'Raw Data'!E41</f>
        <v>East</v>
      </c>
      <c r="F40" s="17" t="str">
        <f>'Raw Data'!F41</f>
        <v>Low</v>
      </c>
      <c r="G40" s="18">
        <f>'Raw Data'!G41</f>
        <v>16211</v>
      </c>
      <c r="H40" s="17" t="str">
        <f>'Raw Data'!H41</f>
        <v>Business Owner</v>
      </c>
      <c r="I40" s="17">
        <f>'Raw Data'!I41</f>
        <v>15</v>
      </c>
      <c r="J40" s="35">
        <f>'Raw Data'!J41</f>
        <v>2816.71</v>
      </c>
      <c r="K40" s="35">
        <f>'Raw Data'!K41</f>
        <v>42250.65</v>
      </c>
      <c r="L40" s="17" t="str">
        <f>'Raw Data'!L41</f>
        <v>Fashion</v>
      </c>
      <c r="M40" s="17" t="str">
        <f>'Raw Data'!M41</f>
        <v>Offline</v>
      </c>
      <c r="N40" s="17" t="str">
        <f>'Raw Data'!N41</f>
        <v>New</v>
      </c>
      <c r="O40" s="17" t="str">
        <f>'Raw Data'!O41</f>
        <v>High</v>
      </c>
      <c r="P40" s="17" t="str">
        <f>'Raw Data'!P41</f>
        <v>Medium</v>
      </c>
      <c r="Q40" s="36">
        <f>'Raw Data'!Q41</f>
        <v>45723</v>
      </c>
      <c r="R40" s="17" t="str">
        <f ca="1">'Raw Data'!R41</f>
        <v>General Customer</v>
      </c>
      <c r="S40" s="34" t="str">
        <f>IF(B40&lt;25,"18-24",IF(B40&lt;35,"25-34",IF(B40&lt;45,"35-44",IF(B40&lt;55,"45-54","55+"))))</f>
        <v>25-34</v>
      </c>
      <c r="T40" s="34" t="str">
        <f>IF(G40&lt;25000,"Low (&lt; ₹25K)",IF(G40&lt;50000,"Mid (₹25K-50K)","High (&gt; ₹50K)"))</f>
        <v>Low (&lt; ₹25K)</v>
      </c>
      <c r="U40" s="34">
        <f ca="1">IFERROR(TODAY()-Q40,"")</f>
        <v>402</v>
      </c>
      <c r="V40" s="34" t="str">
        <f ca="1">IF(AND(U40&lt;60,I40&gt;=12,K40&gt;=80000),"Champions",IF(AND(U40&lt;90,I40&gt;=8,K40&gt;=40000),"Loyal",IF(AND(U40&gt;180,I40&lt;5),"At Risk / Churned",IF(AND(U40&lt;120,I40&gt;=6),"Potential Loyal","Needs Attention"))))</f>
        <v>Needs Attention</v>
      </c>
    </row>
    <row r="41" spans="1:22" ht="15" customHeight="1" x14ac:dyDescent="0.2">
      <c r="A41" s="19" t="str">
        <f>'Raw Data'!A42</f>
        <v>CUST0039</v>
      </c>
      <c r="B41" s="19">
        <f>'Raw Data'!B42</f>
        <v>40</v>
      </c>
      <c r="C41" s="19" t="str">
        <f>'Raw Data'!C42</f>
        <v>Male</v>
      </c>
      <c r="D41" s="19" t="str">
        <f>'Raw Data'!D42</f>
        <v>Mumbai</v>
      </c>
      <c r="E41" s="19" t="str">
        <f>'Raw Data'!E42</f>
        <v>West</v>
      </c>
      <c r="F41" s="19" t="str">
        <f>'Raw Data'!F42</f>
        <v>High</v>
      </c>
      <c r="G41" s="20">
        <f>'Raw Data'!G42</f>
        <v>58993</v>
      </c>
      <c r="H41" s="19" t="str">
        <f>'Raw Data'!H42</f>
        <v>Freelancer</v>
      </c>
      <c r="I41" s="19">
        <f>'Raw Data'!I42</f>
        <v>21</v>
      </c>
      <c r="J41" s="32">
        <f>'Raw Data'!J42</f>
        <v>609.99</v>
      </c>
      <c r="K41" s="32">
        <f>'Raw Data'!K42</f>
        <v>12809.79</v>
      </c>
      <c r="L41" s="19" t="str">
        <f>'Raw Data'!L42</f>
        <v>Home &amp; Decor</v>
      </c>
      <c r="M41" s="19" t="str">
        <f>'Raw Data'!M42</f>
        <v>Online</v>
      </c>
      <c r="N41" s="19" t="str">
        <f>'Raw Data'!N42</f>
        <v>Returning</v>
      </c>
      <c r="O41" s="19" t="str">
        <f>'Raw Data'!O42</f>
        <v>Low</v>
      </c>
      <c r="P41" s="19" t="str">
        <f>'Raw Data'!P42</f>
        <v>Low</v>
      </c>
      <c r="Q41" s="33">
        <f>'Raw Data'!Q42</f>
        <v>45312</v>
      </c>
      <c r="R41" s="19" t="str">
        <f ca="1">'Raw Data'!R42</f>
        <v>General Customer</v>
      </c>
      <c r="S41" s="34" t="str">
        <f>IF(B41&lt;25,"18-24",IF(B41&lt;35,"25-34",IF(B41&lt;45,"35-44",IF(B41&lt;55,"45-54","55+"))))</f>
        <v>35-44</v>
      </c>
      <c r="T41" s="34" t="str">
        <f>IF(G41&lt;25000,"Low (&lt; ₹25K)",IF(G41&lt;50000,"Mid (₹25K-50K)","High (&gt; ₹50K)"))</f>
        <v>High (&gt; ₹50K)</v>
      </c>
      <c r="U41" s="34">
        <f ca="1">IFERROR(TODAY()-Q41,"")</f>
        <v>813</v>
      </c>
      <c r="V41" s="34" t="str">
        <f ca="1">IF(AND(U41&lt;60,I41&gt;=12,K41&gt;=80000),"Champions",IF(AND(U41&lt;90,I41&gt;=8,K41&gt;=40000),"Loyal",IF(AND(U41&gt;180,I41&lt;5),"At Risk / Churned",IF(AND(U41&lt;120,I41&gt;=6),"Potential Loyal","Needs Attention"))))</f>
        <v>Needs Attention</v>
      </c>
    </row>
    <row r="42" spans="1:22" ht="15" customHeight="1" x14ac:dyDescent="0.2">
      <c r="A42" s="17" t="str">
        <f>'Raw Data'!A43</f>
        <v>CUST0040</v>
      </c>
      <c r="B42" s="17">
        <f>'Raw Data'!B43</f>
        <v>31</v>
      </c>
      <c r="C42" s="17" t="str">
        <f>'Raw Data'!C43</f>
        <v>Female</v>
      </c>
      <c r="D42" s="17" t="str">
        <f>'Raw Data'!D43</f>
        <v>Ahmedabad</v>
      </c>
      <c r="E42" s="17" t="str">
        <f>'Raw Data'!E43</f>
        <v>West</v>
      </c>
      <c r="F42" s="17" t="str">
        <f>'Raw Data'!F43</f>
        <v>High</v>
      </c>
      <c r="G42" s="18">
        <f>'Raw Data'!G43</f>
        <v>83586</v>
      </c>
      <c r="H42" s="17" t="str">
        <f>'Raw Data'!H43</f>
        <v>Student</v>
      </c>
      <c r="I42" s="17">
        <f>'Raw Data'!I43</f>
        <v>12</v>
      </c>
      <c r="J42" s="35">
        <f>'Raw Data'!J43</f>
        <v>1591.98</v>
      </c>
      <c r="K42" s="35">
        <f>'Raw Data'!K43</f>
        <v>19103.759999999998</v>
      </c>
      <c r="L42" s="17" t="str">
        <f>'Raw Data'!L43</f>
        <v>Grocery</v>
      </c>
      <c r="M42" s="17" t="str">
        <f>'Raw Data'!M43</f>
        <v>Offline</v>
      </c>
      <c r="N42" s="17" t="str">
        <f>'Raw Data'!N43</f>
        <v>Returning</v>
      </c>
      <c r="O42" s="17" t="str">
        <f>'Raw Data'!O43</f>
        <v>Medium</v>
      </c>
      <c r="P42" s="17" t="str">
        <f>'Raw Data'!P43</f>
        <v>High</v>
      </c>
      <c r="Q42" s="36">
        <f>'Raw Data'!Q43</f>
        <v>45409</v>
      </c>
      <c r="R42" s="17" t="str">
        <f ca="1">'Raw Data'!R43</f>
        <v>General Customer</v>
      </c>
      <c r="S42" s="34" t="str">
        <f>IF(B42&lt;25,"18-24",IF(B42&lt;35,"25-34",IF(B42&lt;45,"35-44",IF(B42&lt;55,"45-54","55+"))))</f>
        <v>25-34</v>
      </c>
      <c r="T42" s="34" t="str">
        <f>IF(G42&lt;25000,"Low (&lt; ₹25K)",IF(G42&lt;50000,"Mid (₹25K-50K)","High (&gt; ₹50K)"))</f>
        <v>High (&gt; ₹50K)</v>
      </c>
      <c r="U42" s="34">
        <f ca="1">IFERROR(TODAY()-Q42,"")</f>
        <v>716</v>
      </c>
      <c r="V42" s="34" t="str">
        <f ca="1">IF(AND(U42&lt;60,I42&gt;=12,K42&gt;=80000),"Champions",IF(AND(U42&lt;90,I42&gt;=8,K42&gt;=40000),"Loyal",IF(AND(U42&gt;180,I42&lt;5),"At Risk / Churned",IF(AND(U42&lt;120,I42&gt;=6),"Potential Loyal","Needs Attention"))))</f>
        <v>Needs Attention</v>
      </c>
    </row>
    <row r="43" spans="1:22" ht="15" customHeight="1" x14ac:dyDescent="0.2">
      <c r="A43" s="19" t="str">
        <f>'Raw Data'!A44</f>
        <v>CUST0041</v>
      </c>
      <c r="B43" s="19">
        <f>'Raw Data'!B44</f>
        <v>54</v>
      </c>
      <c r="C43" s="19" t="str">
        <f>'Raw Data'!C44</f>
        <v>Female</v>
      </c>
      <c r="D43" s="19" t="str">
        <f>'Raw Data'!D44</f>
        <v>Delhi</v>
      </c>
      <c r="E43" s="19" t="str">
        <f>'Raw Data'!E44</f>
        <v>North</v>
      </c>
      <c r="F43" s="19" t="str">
        <f>'Raw Data'!F44</f>
        <v>High</v>
      </c>
      <c r="G43" s="20">
        <f>'Raw Data'!G44</f>
        <v>101990</v>
      </c>
      <c r="H43" s="19" t="str">
        <f>'Raw Data'!H44</f>
        <v>Student</v>
      </c>
      <c r="I43" s="19">
        <f>'Raw Data'!I44</f>
        <v>23</v>
      </c>
      <c r="J43" s="32">
        <f>'Raw Data'!J44</f>
        <v>1827.14</v>
      </c>
      <c r="K43" s="32">
        <f>'Raw Data'!K44</f>
        <v>42024.22</v>
      </c>
      <c r="L43" s="19" t="str">
        <f>'Raw Data'!L44</f>
        <v>Sports</v>
      </c>
      <c r="M43" s="19" t="str">
        <f>'Raw Data'!M44</f>
        <v>Online</v>
      </c>
      <c r="N43" s="19" t="str">
        <f>'Raw Data'!N44</f>
        <v>New</v>
      </c>
      <c r="O43" s="19" t="str">
        <f>'Raw Data'!O44</f>
        <v>Medium</v>
      </c>
      <c r="P43" s="19" t="str">
        <f>'Raw Data'!P44</f>
        <v>High</v>
      </c>
      <c r="Q43" s="33">
        <f>'Raw Data'!Q44</f>
        <v>45540</v>
      </c>
      <c r="R43" s="19" t="str">
        <f ca="1">'Raw Data'!R44</f>
        <v>General Customer</v>
      </c>
      <c r="S43" s="34" t="str">
        <f>IF(B43&lt;25,"18-24",IF(B43&lt;35,"25-34",IF(B43&lt;45,"35-44",IF(B43&lt;55,"45-54","55+"))))</f>
        <v>45-54</v>
      </c>
      <c r="T43" s="34" t="str">
        <f>IF(G43&lt;25000,"Low (&lt; ₹25K)",IF(G43&lt;50000,"Mid (₹25K-50K)","High (&gt; ₹50K)"))</f>
        <v>High (&gt; ₹50K)</v>
      </c>
      <c r="U43" s="34">
        <f ca="1">IFERROR(TODAY()-Q43,"")</f>
        <v>585</v>
      </c>
      <c r="V43" s="34" t="str">
        <f ca="1">IF(AND(U43&lt;60,I43&gt;=12,K43&gt;=80000),"Champions",IF(AND(U43&lt;90,I43&gt;=8,K43&gt;=40000),"Loyal",IF(AND(U43&gt;180,I43&lt;5),"At Risk / Churned",IF(AND(U43&lt;120,I43&gt;=6),"Potential Loyal","Needs Attention"))))</f>
        <v>Needs Attention</v>
      </c>
    </row>
    <row r="44" spans="1:22" ht="15" customHeight="1" x14ac:dyDescent="0.2">
      <c r="A44" s="17" t="str">
        <f>'Raw Data'!A45</f>
        <v>CUST0042</v>
      </c>
      <c r="B44" s="17">
        <f>'Raw Data'!B45</f>
        <v>60</v>
      </c>
      <c r="C44" s="17" t="str">
        <f>'Raw Data'!C45</f>
        <v>Female</v>
      </c>
      <c r="D44" s="17" t="str">
        <f>'Raw Data'!D45</f>
        <v>Lucknow</v>
      </c>
      <c r="E44" s="17" t="str">
        <f>'Raw Data'!E45</f>
        <v>North</v>
      </c>
      <c r="F44" s="17" t="str">
        <f>'Raw Data'!F45</f>
        <v>Low</v>
      </c>
      <c r="G44" s="18">
        <f>'Raw Data'!G45</f>
        <v>16071</v>
      </c>
      <c r="H44" s="17" t="str">
        <f>'Raw Data'!H45</f>
        <v>Self-Employed</v>
      </c>
      <c r="I44" s="17">
        <f>'Raw Data'!I45</f>
        <v>21</v>
      </c>
      <c r="J44" s="35">
        <f>'Raw Data'!J45</f>
        <v>2927.48</v>
      </c>
      <c r="K44" s="35">
        <f>'Raw Data'!K45</f>
        <v>61477.08</v>
      </c>
      <c r="L44" s="17" t="str">
        <f>'Raw Data'!L45</f>
        <v>Beauty</v>
      </c>
      <c r="M44" s="17" t="str">
        <f>'Raw Data'!M45</f>
        <v>Offline</v>
      </c>
      <c r="N44" s="17" t="str">
        <f>'Raw Data'!N45</f>
        <v>Returning</v>
      </c>
      <c r="O44" s="17" t="str">
        <f>'Raw Data'!O45</f>
        <v>High</v>
      </c>
      <c r="P44" s="17" t="str">
        <f>'Raw Data'!P45</f>
        <v>High</v>
      </c>
      <c r="Q44" s="36">
        <f>'Raw Data'!Q45</f>
        <v>45400</v>
      </c>
      <c r="R44" s="17" t="str">
        <f ca="1">'Raw Data'!R45</f>
        <v>Loyal Customer</v>
      </c>
      <c r="S44" s="34" t="str">
        <f>IF(B44&lt;25,"18-24",IF(B44&lt;35,"25-34",IF(B44&lt;45,"35-44",IF(B44&lt;55,"45-54","55+"))))</f>
        <v>55+</v>
      </c>
      <c r="T44" s="34" t="str">
        <f>IF(G44&lt;25000,"Low (&lt; ₹25K)",IF(G44&lt;50000,"Mid (₹25K-50K)","High (&gt; ₹50K)"))</f>
        <v>Low (&lt; ₹25K)</v>
      </c>
      <c r="U44" s="34">
        <f ca="1">IFERROR(TODAY()-Q44,"")</f>
        <v>725</v>
      </c>
      <c r="V44" s="34" t="str">
        <f ca="1">IF(AND(U44&lt;60,I44&gt;=12,K44&gt;=80000),"Champions",IF(AND(U44&lt;90,I44&gt;=8,K44&gt;=40000),"Loyal",IF(AND(U44&gt;180,I44&lt;5),"At Risk / Churned",IF(AND(U44&lt;120,I44&gt;=6),"Potential Loyal","Needs Attention"))))</f>
        <v>Needs Attention</v>
      </c>
    </row>
    <row r="45" spans="1:22" ht="15" customHeight="1" x14ac:dyDescent="0.2">
      <c r="A45" s="19" t="str">
        <f>'Raw Data'!A46</f>
        <v>CUST0043</v>
      </c>
      <c r="B45" s="19">
        <f>'Raw Data'!B46</f>
        <v>59</v>
      </c>
      <c r="C45" s="19" t="str">
        <f>'Raw Data'!C46</f>
        <v>Female</v>
      </c>
      <c r="D45" s="19" t="str">
        <f>'Raw Data'!D46</f>
        <v>Bangalore</v>
      </c>
      <c r="E45" s="19" t="str">
        <f>'Raw Data'!E46</f>
        <v>South</v>
      </c>
      <c r="F45" s="19" t="str">
        <f>'Raw Data'!F46</f>
        <v>Mid</v>
      </c>
      <c r="G45" s="20">
        <f>'Raw Data'!G46</f>
        <v>45182</v>
      </c>
      <c r="H45" s="19" t="str">
        <f>'Raw Data'!H46</f>
        <v>Salaried</v>
      </c>
      <c r="I45" s="19">
        <f>'Raw Data'!I46</f>
        <v>15</v>
      </c>
      <c r="J45" s="32">
        <f>'Raw Data'!J46</f>
        <v>3653.92</v>
      </c>
      <c r="K45" s="32">
        <f>'Raw Data'!K46</f>
        <v>54808.800000000003</v>
      </c>
      <c r="L45" s="19" t="str">
        <f>'Raw Data'!L46</f>
        <v>Fashion</v>
      </c>
      <c r="M45" s="19" t="str">
        <f>'Raw Data'!M46</f>
        <v>Offline</v>
      </c>
      <c r="N45" s="19" t="str">
        <f>'Raw Data'!N46</f>
        <v>Returning</v>
      </c>
      <c r="O45" s="19" t="str">
        <f>'Raw Data'!O46</f>
        <v>High</v>
      </c>
      <c r="P45" s="19" t="str">
        <f>'Raw Data'!P46</f>
        <v>Low</v>
      </c>
      <c r="Q45" s="33">
        <f>'Raw Data'!Q46</f>
        <v>45543</v>
      </c>
      <c r="R45" s="19" t="str">
        <f ca="1">'Raw Data'!R46</f>
        <v>Loyal Customer</v>
      </c>
      <c r="S45" s="34" t="str">
        <f>IF(B45&lt;25,"18-24",IF(B45&lt;35,"25-34",IF(B45&lt;45,"35-44",IF(B45&lt;55,"45-54","55+"))))</f>
        <v>55+</v>
      </c>
      <c r="T45" s="34" t="str">
        <f>IF(G45&lt;25000,"Low (&lt; ₹25K)",IF(G45&lt;50000,"Mid (₹25K-50K)","High (&gt; ₹50K)"))</f>
        <v>Mid (₹25K-50K)</v>
      </c>
      <c r="U45" s="34">
        <f ca="1">IFERROR(TODAY()-Q45,"")</f>
        <v>582</v>
      </c>
      <c r="V45" s="34" t="str">
        <f ca="1">IF(AND(U45&lt;60,I45&gt;=12,K45&gt;=80000),"Champions",IF(AND(U45&lt;90,I45&gt;=8,K45&gt;=40000),"Loyal",IF(AND(U45&gt;180,I45&lt;5),"At Risk / Churned",IF(AND(U45&lt;120,I45&gt;=6),"Potential Loyal","Needs Attention"))))</f>
        <v>Needs Attention</v>
      </c>
    </row>
    <row r="46" spans="1:22" ht="15" customHeight="1" x14ac:dyDescent="0.2">
      <c r="A46" s="17" t="str">
        <f>'Raw Data'!A47</f>
        <v>CUST0044</v>
      </c>
      <c r="B46" s="17">
        <f>'Raw Data'!B47</f>
        <v>60</v>
      </c>
      <c r="C46" s="17" t="str">
        <f>'Raw Data'!C47</f>
        <v>Female</v>
      </c>
      <c r="D46" s="17" t="str">
        <f>'Raw Data'!D47</f>
        <v>Ahmedabad</v>
      </c>
      <c r="E46" s="17" t="str">
        <f>'Raw Data'!E47</f>
        <v>West</v>
      </c>
      <c r="F46" s="17" t="str">
        <f>'Raw Data'!F47</f>
        <v>Low</v>
      </c>
      <c r="G46" s="18">
        <f>'Raw Data'!G47</f>
        <v>16209</v>
      </c>
      <c r="H46" s="17" t="str">
        <f>'Raw Data'!H47</f>
        <v>Business Owner</v>
      </c>
      <c r="I46" s="17">
        <f>'Raw Data'!I47</f>
        <v>16</v>
      </c>
      <c r="J46" s="35">
        <f>'Raw Data'!J47</f>
        <v>6852.34</v>
      </c>
      <c r="K46" s="35">
        <f>'Raw Data'!K47</f>
        <v>109637.44</v>
      </c>
      <c r="L46" s="17" t="str">
        <f>'Raw Data'!L47</f>
        <v>Sports</v>
      </c>
      <c r="M46" s="17" t="str">
        <f>'Raw Data'!M47</f>
        <v>Online</v>
      </c>
      <c r="N46" s="17" t="str">
        <f>'Raw Data'!N47</f>
        <v>New</v>
      </c>
      <c r="O46" s="17" t="str">
        <f>'Raw Data'!O47</f>
        <v>Low</v>
      </c>
      <c r="P46" s="17" t="str">
        <f>'Raw Data'!P47</f>
        <v>Low</v>
      </c>
      <c r="Q46" s="36">
        <f>'Raw Data'!Q47</f>
        <v>45556</v>
      </c>
      <c r="R46" s="17" t="str">
        <f ca="1">'Raw Data'!R47</f>
        <v>Loyal Customer</v>
      </c>
      <c r="S46" s="34" t="str">
        <f>IF(B46&lt;25,"18-24",IF(B46&lt;35,"25-34",IF(B46&lt;45,"35-44",IF(B46&lt;55,"45-54","55+"))))</f>
        <v>55+</v>
      </c>
      <c r="T46" s="34" t="str">
        <f>IF(G46&lt;25000,"Low (&lt; ₹25K)",IF(G46&lt;50000,"Mid (₹25K-50K)","High (&gt; ₹50K)"))</f>
        <v>Low (&lt; ₹25K)</v>
      </c>
      <c r="U46" s="34">
        <f ca="1">IFERROR(TODAY()-Q46,"")</f>
        <v>569</v>
      </c>
      <c r="V46" s="34" t="str">
        <f ca="1">IF(AND(U46&lt;60,I46&gt;=12,K46&gt;=80000),"Champions",IF(AND(U46&lt;90,I46&gt;=8,K46&gt;=40000),"Loyal",IF(AND(U46&gt;180,I46&lt;5),"At Risk / Churned",IF(AND(U46&lt;120,I46&gt;=6),"Potential Loyal","Needs Attention"))))</f>
        <v>Needs Attention</v>
      </c>
    </row>
    <row r="47" spans="1:22" ht="15" customHeight="1" x14ac:dyDescent="0.2">
      <c r="A47" s="19" t="str">
        <f>'Raw Data'!A48</f>
        <v>CUST0045</v>
      </c>
      <c r="B47" s="19">
        <f>'Raw Data'!B48</f>
        <v>44</v>
      </c>
      <c r="C47" s="19" t="str">
        <f>'Raw Data'!C48</f>
        <v>Male</v>
      </c>
      <c r="D47" s="19" t="str">
        <f>'Raw Data'!D48</f>
        <v>Jaipur</v>
      </c>
      <c r="E47" s="19" t="str">
        <f>'Raw Data'!E48</f>
        <v>North</v>
      </c>
      <c r="F47" s="19" t="str">
        <f>'Raw Data'!F48</f>
        <v>Low</v>
      </c>
      <c r="G47" s="20">
        <f>'Raw Data'!G48</f>
        <v>18004</v>
      </c>
      <c r="H47" s="19" t="str">
        <f>'Raw Data'!H48</f>
        <v>Student</v>
      </c>
      <c r="I47" s="19">
        <f>'Raw Data'!I48</f>
        <v>23</v>
      </c>
      <c r="J47" s="32">
        <f>'Raw Data'!J48</f>
        <v>3965.92</v>
      </c>
      <c r="K47" s="32">
        <f>'Raw Data'!K48</f>
        <v>91216.16</v>
      </c>
      <c r="L47" s="19" t="str">
        <f>'Raw Data'!L48</f>
        <v>Home &amp; Decor</v>
      </c>
      <c r="M47" s="19" t="str">
        <f>'Raw Data'!M48</f>
        <v>Offline</v>
      </c>
      <c r="N47" s="19" t="str">
        <f>'Raw Data'!N48</f>
        <v>New</v>
      </c>
      <c r="O47" s="19" t="str">
        <f>'Raw Data'!O48</f>
        <v>High</v>
      </c>
      <c r="P47" s="19" t="str">
        <f>'Raw Data'!P48</f>
        <v>Medium</v>
      </c>
      <c r="Q47" s="33">
        <f>'Raw Data'!Q48</f>
        <v>45309</v>
      </c>
      <c r="R47" s="19" t="str">
        <f ca="1">'Raw Data'!R48</f>
        <v>Loyal Customer</v>
      </c>
      <c r="S47" s="34" t="str">
        <f>IF(B47&lt;25,"18-24",IF(B47&lt;35,"25-34",IF(B47&lt;45,"35-44",IF(B47&lt;55,"45-54","55+"))))</f>
        <v>35-44</v>
      </c>
      <c r="T47" s="34" t="str">
        <f>IF(G47&lt;25000,"Low (&lt; ₹25K)",IF(G47&lt;50000,"Mid (₹25K-50K)","High (&gt; ₹50K)"))</f>
        <v>Low (&lt; ₹25K)</v>
      </c>
      <c r="U47" s="34">
        <f ca="1">IFERROR(TODAY()-Q47,"")</f>
        <v>816</v>
      </c>
      <c r="V47" s="34" t="str">
        <f ca="1">IF(AND(U47&lt;60,I47&gt;=12,K47&gt;=80000),"Champions",IF(AND(U47&lt;90,I47&gt;=8,K47&gt;=40000),"Loyal",IF(AND(U47&gt;180,I47&lt;5),"At Risk / Churned",IF(AND(U47&lt;120,I47&gt;=6),"Potential Loyal","Needs Attention"))))</f>
        <v>Needs Attention</v>
      </c>
    </row>
    <row r="48" spans="1:22" ht="15" customHeight="1" x14ac:dyDescent="0.2">
      <c r="A48" s="17" t="str">
        <f>'Raw Data'!A49</f>
        <v>CUST0046</v>
      </c>
      <c r="B48" s="17">
        <f>'Raw Data'!B49</f>
        <v>53</v>
      </c>
      <c r="C48" s="17" t="str">
        <f>'Raw Data'!C49</f>
        <v>Male</v>
      </c>
      <c r="D48" s="17" t="str">
        <f>'Raw Data'!D49</f>
        <v>Hyderabad</v>
      </c>
      <c r="E48" s="17" t="str">
        <f>'Raw Data'!E49</f>
        <v>South</v>
      </c>
      <c r="F48" s="17" t="str">
        <f>'Raw Data'!F49</f>
        <v>Mid</v>
      </c>
      <c r="G48" s="18">
        <f>'Raw Data'!G49</f>
        <v>36264</v>
      </c>
      <c r="H48" s="17" t="str">
        <f>'Raw Data'!H49</f>
        <v>Freelancer</v>
      </c>
      <c r="I48" s="17">
        <f>'Raw Data'!I49</f>
        <v>24</v>
      </c>
      <c r="J48" s="35">
        <f>'Raw Data'!J49</f>
        <v>4537.99</v>
      </c>
      <c r="K48" s="35">
        <f>'Raw Data'!K49</f>
        <v>108911.76</v>
      </c>
      <c r="L48" s="17" t="str">
        <f>'Raw Data'!L49</f>
        <v>Fashion</v>
      </c>
      <c r="M48" s="17" t="str">
        <f>'Raw Data'!M49</f>
        <v>Online</v>
      </c>
      <c r="N48" s="17" t="str">
        <f>'Raw Data'!N49</f>
        <v>New</v>
      </c>
      <c r="O48" s="17" t="str">
        <f>'Raw Data'!O49</f>
        <v>Medium</v>
      </c>
      <c r="P48" s="17" t="str">
        <f>'Raw Data'!P49</f>
        <v>Medium</v>
      </c>
      <c r="Q48" s="36">
        <f>'Raw Data'!Q49</f>
        <v>45605</v>
      </c>
      <c r="R48" s="17" t="str">
        <f ca="1">'Raw Data'!R49</f>
        <v>Loyal Customer</v>
      </c>
      <c r="S48" s="34" t="str">
        <f>IF(B48&lt;25,"18-24",IF(B48&lt;35,"25-34",IF(B48&lt;45,"35-44",IF(B48&lt;55,"45-54","55+"))))</f>
        <v>45-54</v>
      </c>
      <c r="T48" s="34" t="str">
        <f>IF(G48&lt;25000,"Low (&lt; ₹25K)",IF(G48&lt;50000,"Mid (₹25K-50K)","High (&gt; ₹50K)"))</f>
        <v>Mid (₹25K-50K)</v>
      </c>
      <c r="U48" s="34">
        <f ca="1">IFERROR(TODAY()-Q48,"")</f>
        <v>520</v>
      </c>
      <c r="V48" s="34" t="str">
        <f ca="1">IF(AND(U48&lt;60,I48&gt;=12,K48&gt;=80000),"Champions",IF(AND(U48&lt;90,I48&gt;=8,K48&gt;=40000),"Loyal",IF(AND(U48&gt;180,I48&lt;5),"At Risk / Churned",IF(AND(U48&lt;120,I48&gt;=6),"Potential Loyal","Needs Attention"))))</f>
        <v>Needs Attention</v>
      </c>
    </row>
    <row r="49" spans="1:22" ht="15" customHeight="1" x14ac:dyDescent="0.2">
      <c r="A49" s="19" t="str">
        <f>'Raw Data'!A50</f>
        <v>CUST0047</v>
      </c>
      <c r="B49" s="19">
        <f>'Raw Data'!B50</f>
        <v>62</v>
      </c>
      <c r="C49" s="19" t="str">
        <f>'Raw Data'!C50</f>
        <v>Female</v>
      </c>
      <c r="D49" s="19" t="str">
        <f>'Raw Data'!D50</f>
        <v>Pune</v>
      </c>
      <c r="E49" s="19" t="str">
        <f>'Raw Data'!E50</f>
        <v>West</v>
      </c>
      <c r="F49" s="19" t="str">
        <f>'Raw Data'!F50</f>
        <v>Low</v>
      </c>
      <c r="G49" s="20">
        <f>'Raw Data'!G50</f>
        <v>13033</v>
      </c>
      <c r="H49" s="19" t="str">
        <f>'Raw Data'!H50</f>
        <v>Freelancer</v>
      </c>
      <c r="I49" s="19">
        <f>'Raw Data'!I50</f>
        <v>24</v>
      </c>
      <c r="J49" s="32">
        <f>'Raw Data'!J50</f>
        <v>4028.33</v>
      </c>
      <c r="K49" s="32">
        <f>'Raw Data'!K50</f>
        <v>96679.92</v>
      </c>
      <c r="L49" s="19" t="str">
        <f>'Raw Data'!L50</f>
        <v>Fashion</v>
      </c>
      <c r="M49" s="19" t="str">
        <f>'Raw Data'!M50</f>
        <v>Online</v>
      </c>
      <c r="N49" s="19" t="str">
        <f>'Raw Data'!N50</f>
        <v>Returning</v>
      </c>
      <c r="O49" s="19" t="str">
        <f>'Raw Data'!O50</f>
        <v>High</v>
      </c>
      <c r="P49" s="19" t="str">
        <f>'Raw Data'!P50</f>
        <v>High</v>
      </c>
      <c r="Q49" s="33">
        <f>'Raw Data'!Q50</f>
        <v>45829</v>
      </c>
      <c r="R49" s="19" t="str">
        <f ca="1">'Raw Data'!R50</f>
        <v>Loyal Customer</v>
      </c>
      <c r="S49" s="34" t="str">
        <f>IF(B49&lt;25,"18-24",IF(B49&lt;35,"25-34",IF(B49&lt;45,"35-44",IF(B49&lt;55,"45-54","55+"))))</f>
        <v>55+</v>
      </c>
      <c r="T49" s="34" t="str">
        <f>IF(G49&lt;25000,"Low (&lt; ₹25K)",IF(G49&lt;50000,"Mid (₹25K-50K)","High (&gt; ₹50K)"))</f>
        <v>Low (&lt; ₹25K)</v>
      </c>
      <c r="U49" s="34">
        <f ca="1">IFERROR(TODAY()-Q49,"")</f>
        <v>296</v>
      </c>
      <c r="V49" s="34" t="str">
        <f ca="1">IF(AND(U49&lt;60,I49&gt;=12,K49&gt;=80000),"Champions",IF(AND(U49&lt;90,I49&gt;=8,K49&gt;=40000),"Loyal",IF(AND(U49&gt;180,I49&lt;5),"At Risk / Churned",IF(AND(U49&lt;120,I49&gt;=6),"Potential Loyal","Needs Attention"))))</f>
        <v>Needs Attention</v>
      </c>
    </row>
    <row r="50" spans="1:22" ht="15" customHeight="1" x14ac:dyDescent="0.2">
      <c r="A50" s="17" t="str">
        <f>'Raw Data'!A51</f>
        <v>CUST0048</v>
      </c>
      <c r="B50" s="17">
        <f>'Raw Data'!B51</f>
        <v>18</v>
      </c>
      <c r="C50" s="17" t="str">
        <f>'Raw Data'!C51</f>
        <v>Male</v>
      </c>
      <c r="D50" s="17" t="str">
        <f>'Raw Data'!D51</f>
        <v>Chennai</v>
      </c>
      <c r="E50" s="17" t="str">
        <f>'Raw Data'!E51</f>
        <v>South</v>
      </c>
      <c r="F50" s="17" t="str">
        <f>'Raw Data'!F51</f>
        <v>Low</v>
      </c>
      <c r="G50" s="18">
        <f>'Raw Data'!G51</f>
        <v>21600</v>
      </c>
      <c r="H50" s="17" t="str">
        <f>'Raw Data'!H51</f>
        <v>Self-Employed</v>
      </c>
      <c r="I50" s="17">
        <f>'Raw Data'!I51</f>
        <v>9</v>
      </c>
      <c r="J50" s="35">
        <f>'Raw Data'!J51</f>
        <v>650.47</v>
      </c>
      <c r="K50" s="35">
        <f>'Raw Data'!K51</f>
        <v>5854.23</v>
      </c>
      <c r="L50" s="17" t="str">
        <f>'Raw Data'!L51</f>
        <v>Travel</v>
      </c>
      <c r="M50" s="17" t="str">
        <f>'Raw Data'!M51</f>
        <v>Online</v>
      </c>
      <c r="N50" s="17" t="str">
        <f>'Raw Data'!N51</f>
        <v>Returning</v>
      </c>
      <c r="O50" s="17" t="str">
        <f>'Raw Data'!O51</f>
        <v>Low</v>
      </c>
      <c r="P50" s="17" t="str">
        <f>'Raw Data'!P51</f>
        <v>Low</v>
      </c>
      <c r="Q50" s="36">
        <f>'Raw Data'!Q51</f>
        <v>45421</v>
      </c>
      <c r="R50" s="17" t="str">
        <f ca="1">'Raw Data'!R51</f>
        <v>General Customer</v>
      </c>
      <c r="S50" s="34" t="str">
        <f>IF(B50&lt;25,"18-24",IF(B50&lt;35,"25-34",IF(B50&lt;45,"35-44",IF(B50&lt;55,"45-54","55+"))))</f>
        <v>18-24</v>
      </c>
      <c r="T50" s="34" t="str">
        <f>IF(G50&lt;25000,"Low (&lt; ₹25K)",IF(G50&lt;50000,"Mid (₹25K-50K)","High (&gt; ₹50K)"))</f>
        <v>Low (&lt; ₹25K)</v>
      </c>
      <c r="U50" s="34">
        <f ca="1">IFERROR(TODAY()-Q50,"")</f>
        <v>704</v>
      </c>
      <c r="V50" s="34" t="str">
        <f ca="1">IF(AND(U50&lt;60,I50&gt;=12,K50&gt;=80000),"Champions",IF(AND(U50&lt;90,I50&gt;=8,K50&gt;=40000),"Loyal",IF(AND(U50&gt;180,I50&lt;5),"At Risk / Churned",IF(AND(U50&lt;120,I50&gt;=6),"Potential Loyal","Needs Attention"))))</f>
        <v>Needs Attention</v>
      </c>
    </row>
    <row r="51" spans="1:22" ht="15" customHeight="1" x14ac:dyDescent="0.2">
      <c r="A51" s="19" t="str">
        <f>'Raw Data'!A52</f>
        <v>CUST0049</v>
      </c>
      <c r="B51" s="19">
        <f>'Raw Data'!B52</f>
        <v>46</v>
      </c>
      <c r="C51" s="19" t="str">
        <f>'Raw Data'!C52</f>
        <v>Male</v>
      </c>
      <c r="D51" s="19" t="str">
        <f>'Raw Data'!D52</f>
        <v>Mumbai</v>
      </c>
      <c r="E51" s="19" t="str">
        <f>'Raw Data'!E52</f>
        <v>West</v>
      </c>
      <c r="F51" s="19" t="str">
        <f>'Raw Data'!F52</f>
        <v>High</v>
      </c>
      <c r="G51" s="20">
        <f>'Raw Data'!G52</f>
        <v>56734</v>
      </c>
      <c r="H51" s="19" t="str">
        <f>'Raw Data'!H52</f>
        <v>Self-Employed</v>
      </c>
      <c r="I51" s="19">
        <f>'Raw Data'!I52</f>
        <v>9</v>
      </c>
      <c r="J51" s="32">
        <f>'Raw Data'!J52</f>
        <v>7546.19</v>
      </c>
      <c r="K51" s="32">
        <f>'Raw Data'!K52</f>
        <v>67915.710000000006</v>
      </c>
      <c r="L51" s="19" t="str">
        <f>'Raw Data'!L52</f>
        <v>Electronics</v>
      </c>
      <c r="M51" s="19" t="str">
        <f>'Raw Data'!M52</f>
        <v>Online</v>
      </c>
      <c r="N51" s="19" t="str">
        <f>'Raw Data'!N52</f>
        <v>Returning</v>
      </c>
      <c r="O51" s="19" t="str">
        <f>'Raw Data'!O52</f>
        <v>Medium</v>
      </c>
      <c r="P51" s="19" t="str">
        <f>'Raw Data'!P52</f>
        <v>High</v>
      </c>
      <c r="Q51" s="33">
        <f>'Raw Data'!Q52</f>
        <v>45702</v>
      </c>
      <c r="R51" s="19" t="str">
        <f ca="1">'Raw Data'!R52</f>
        <v>General Customer</v>
      </c>
      <c r="S51" s="34" t="str">
        <f>IF(B51&lt;25,"18-24",IF(B51&lt;35,"25-34",IF(B51&lt;45,"35-44",IF(B51&lt;55,"45-54","55+"))))</f>
        <v>45-54</v>
      </c>
      <c r="T51" s="34" t="str">
        <f>IF(G51&lt;25000,"Low (&lt; ₹25K)",IF(G51&lt;50000,"Mid (₹25K-50K)","High (&gt; ₹50K)"))</f>
        <v>High (&gt; ₹50K)</v>
      </c>
      <c r="U51" s="34">
        <f ca="1">IFERROR(TODAY()-Q51,"")</f>
        <v>423</v>
      </c>
      <c r="V51" s="34" t="str">
        <f ca="1">IF(AND(U51&lt;60,I51&gt;=12,K51&gt;=80000),"Champions",IF(AND(U51&lt;90,I51&gt;=8,K51&gt;=40000),"Loyal",IF(AND(U51&gt;180,I51&lt;5),"At Risk / Churned",IF(AND(U51&lt;120,I51&gt;=6),"Potential Loyal","Needs Attention"))))</f>
        <v>Needs Attention</v>
      </c>
    </row>
    <row r="52" spans="1:22" ht="15" customHeight="1" x14ac:dyDescent="0.2">
      <c r="A52" s="17" t="str">
        <f>'Raw Data'!A53</f>
        <v>CUST0050</v>
      </c>
      <c r="B52" s="17">
        <f>'Raw Data'!B53</f>
        <v>33</v>
      </c>
      <c r="C52" s="17" t="str">
        <f>'Raw Data'!C53</f>
        <v>Male</v>
      </c>
      <c r="D52" s="17" t="str">
        <f>'Raw Data'!D53</f>
        <v>Bangalore</v>
      </c>
      <c r="E52" s="17" t="str">
        <f>'Raw Data'!E53</f>
        <v>South</v>
      </c>
      <c r="F52" s="17" t="str">
        <f>'Raw Data'!F53</f>
        <v>High</v>
      </c>
      <c r="G52" s="18">
        <f>'Raw Data'!G53</f>
        <v>104548</v>
      </c>
      <c r="H52" s="17" t="str">
        <f>'Raw Data'!H53</f>
        <v>Self-Employed</v>
      </c>
      <c r="I52" s="17">
        <f>'Raw Data'!I53</f>
        <v>20</v>
      </c>
      <c r="J52" s="35">
        <f>'Raw Data'!J53</f>
        <v>4890.18</v>
      </c>
      <c r="K52" s="35">
        <f>'Raw Data'!K53</f>
        <v>97803.6</v>
      </c>
      <c r="L52" s="17" t="str">
        <f>'Raw Data'!L53</f>
        <v>Travel</v>
      </c>
      <c r="M52" s="17" t="str">
        <f>'Raw Data'!M53</f>
        <v>Offline</v>
      </c>
      <c r="N52" s="17" t="str">
        <f>'Raw Data'!N53</f>
        <v>Returning</v>
      </c>
      <c r="O52" s="17" t="str">
        <f>'Raw Data'!O53</f>
        <v>Medium</v>
      </c>
      <c r="P52" s="17" t="str">
        <f>'Raw Data'!P53</f>
        <v>High</v>
      </c>
      <c r="Q52" s="36">
        <f>'Raw Data'!Q53</f>
        <v>45681</v>
      </c>
      <c r="R52" s="17" t="str">
        <f ca="1">'Raw Data'!R53</f>
        <v>Loyal Customer</v>
      </c>
      <c r="S52" s="34" t="str">
        <f>IF(B52&lt;25,"18-24",IF(B52&lt;35,"25-34",IF(B52&lt;45,"35-44",IF(B52&lt;55,"45-54","55+"))))</f>
        <v>25-34</v>
      </c>
      <c r="T52" s="34" t="str">
        <f>IF(G52&lt;25000,"Low (&lt; ₹25K)",IF(G52&lt;50000,"Mid (₹25K-50K)","High (&gt; ₹50K)"))</f>
        <v>High (&gt; ₹50K)</v>
      </c>
      <c r="U52" s="34">
        <f ca="1">IFERROR(TODAY()-Q52,"")</f>
        <v>444</v>
      </c>
      <c r="V52" s="34" t="str">
        <f ca="1">IF(AND(U52&lt;60,I52&gt;=12,K52&gt;=80000),"Champions",IF(AND(U52&lt;90,I52&gt;=8,K52&gt;=40000),"Loyal",IF(AND(U52&gt;180,I52&lt;5),"At Risk / Churned",IF(AND(U52&lt;120,I52&gt;=6),"Potential Loyal","Needs Attention"))))</f>
        <v>Needs Attention</v>
      </c>
    </row>
    <row r="53" spans="1:22" ht="15" customHeight="1" x14ac:dyDescent="0.2">
      <c r="A53" s="19" t="str">
        <f>'Raw Data'!A54</f>
        <v>CUST0051</v>
      </c>
      <c r="B53" s="19">
        <f>'Raw Data'!B54</f>
        <v>21</v>
      </c>
      <c r="C53" s="19" t="str">
        <f>'Raw Data'!C54</f>
        <v>Female</v>
      </c>
      <c r="D53" s="19" t="str">
        <f>'Raw Data'!D54</f>
        <v>Lucknow</v>
      </c>
      <c r="E53" s="19" t="str">
        <f>'Raw Data'!E54</f>
        <v>North</v>
      </c>
      <c r="F53" s="19" t="str">
        <f>'Raw Data'!F54</f>
        <v>Mid</v>
      </c>
      <c r="G53" s="20">
        <f>'Raw Data'!G54</f>
        <v>49251</v>
      </c>
      <c r="H53" s="19" t="str">
        <f>'Raw Data'!H54</f>
        <v>Self-Employed</v>
      </c>
      <c r="I53" s="19">
        <f>'Raw Data'!I54</f>
        <v>7</v>
      </c>
      <c r="J53" s="32">
        <f>'Raw Data'!J54</f>
        <v>5116.47</v>
      </c>
      <c r="K53" s="32">
        <f>'Raw Data'!K54</f>
        <v>35815.29</v>
      </c>
      <c r="L53" s="19" t="str">
        <f>'Raw Data'!L54</f>
        <v>Fashion</v>
      </c>
      <c r="M53" s="19" t="str">
        <f>'Raw Data'!M54</f>
        <v>Online</v>
      </c>
      <c r="N53" s="19" t="str">
        <f>'Raw Data'!N54</f>
        <v>New</v>
      </c>
      <c r="O53" s="19" t="str">
        <f>'Raw Data'!O54</f>
        <v>Medium</v>
      </c>
      <c r="P53" s="19" t="str">
        <f>'Raw Data'!P54</f>
        <v>Low</v>
      </c>
      <c r="Q53" s="33">
        <f>'Raw Data'!Q54</f>
        <v>45537</v>
      </c>
      <c r="R53" s="19" t="str">
        <f ca="1">'Raw Data'!R54</f>
        <v>General Customer</v>
      </c>
      <c r="S53" s="34" t="str">
        <f>IF(B53&lt;25,"18-24",IF(B53&lt;35,"25-34",IF(B53&lt;45,"35-44",IF(B53&lt;55,"45-54","55+"))))</f>
        <v>18-24</v>
      </c>
      <c r="T53" s="34" t="str">
        <f>IF(G53&lt;25000,"Low (&lt; ₹25K)",IF(G53&lt;50000,"Mid (₹25K-50K)","High (&gt; ₹50K)"))</f>
        <v>Mid (₹25K-50K)</v>
      </c>
      <c r="U53" s="34">
        <f ca="1">IFERROR(TODAY()-Q53,"")</f>
        <v>588</v>
      </c>
      <c r="V53" s="34" t="str">
        <f ca="1">IF(AND(U53&lt;60,I53&gt;=12,K53&gt;=80000),"Champions",IF(AND(U53&lt;90,I53&gt;=8,K53&gt;=40000),"Loyal",IF(AND(U53&gt;180,I53&lt;5),"At Risk / Churned",IF(AND(U53&lt;120,I53&gt;=6),"Potential Loyal","Needs Attention"))))</f>
        <v>Needs Attention</v>
      </c>
    </row>
    <row r="54" spans="1:22" ht="15" customHeight="1" x14ac:dyDescent="0.2">
      <c r="A54" s="17" t="str">
        <f>'Raw Data'!A55</f>
        <v>CUST0052</v>
      </c>
      <c r="B54" s="17">
        <f>'Raw Data'!B55</f>
        <v>48</v>
      </c>
      <c r="C54" s="17" t="str">
        <f>'Raw Data'!C55</f>
        <v>Female</v>
      </c>
      <c r="D54" s="17" t="str">
        <f>'Raw Data'!D55</f>
        <v>Mumbai</v>
      </c>
      <c r="E54" s="17" t="str">
        <f>'Raw Data'!E55</f>
        <v>West</v>
      </c>
      <c r="F54" s="17" t="str">
        <f>'Raw Data'!F55</f>
        <v>Mid</v>
      </c>
      <c r="G54" s="18">
        <f>'Raw Data'!G55</f>
        <v>26069</v>
      </c>
      <c r="H54" s="17" t="str">
        <f>'Raw Data'!H55</f>
        <v>Business Owner</v>
      </c>
      <c r="I54" s="17">
        <f>'Raw Data'!I55</f>
        <v>10</v>
      </c>
      <c r="J54" s="35">
        <f>'Raw Data'!J55</f>
        <v>5743.56</v>
      </c>
      <c r="K54" s="35">
        <f>'Raw Data'!K55</f>
        <v>57435.6</v>
      </c>
      <c r="L54" s="17" t="str">
        <f>'Raw Data'!L55</f>
        <v>Sports</v>
      </c>
      <c r="M54" s="17" t="str">
        <f>'Raw Data'!M55</f>
        <v>Online</v>
      </c>
      <c r="N54" s="17" t="str">
        <f>'Raw Data'!N55</f>
        <v>New</v>
      </c>
      <c r="O54" s="17" t="str">
        <f>'Raw Data'!O55</f>
        <v>High</v>
      </c>
      <c r="P54" s="17" t="str">
        <f>'Raw Data'!P55</f>
        <v>Medium</v>
      </c>
      <c r="Q54" s="36">
        <f>'Raw Data'!Q55</f>
        <v>45995</v>
      </c>
      <c r="R54" s="17" t="str">
        <f ca="1">'Raw Data'!R55</f>
        <v>General Customer</v>
      </c>
      <c r="S54" s="34" t="str">
        <f>IF(B54&lt;25,"18-24",IF(B54&lt;35,"25-34",IF(B54&lt;45,"35-44",IF(B54&lt;55,"45-54","55+"))))</f>
        <v>45-54</v>
      </c>
      <c r="T54" s="34" t="str">
        <f>IF(G54&lt;25000,"Low (&lt; ₹25K)",IF(G54&lt;50000,"Mid (₹25K-50K)","High (&gt; ₹50K)"))</f>
        <v>Mid (₹25K-50K)</v>
      </c>
      <c r="U54" s="34">
        <f ca="1">IFERROR(TODAY()-Q54,"")</f>
        <v>130</v>
      </c>
      <c r="V54" s="34" t="str">
        <f ca="1">IF(AND(U54&lt;60,I54&gt;=12,K54&gt;=80000),"Champions",IF(AND(U54&lt;90,I54&gt;=8,K54&gt;=40000),"Loyal",IF(AND(U54&gt;180,I54&lt;5),"At Risk / Churned",IF(AND(U54&lt;120,I54&gt;=6),"Potential Loyal","Needs Attention"))))</f>
        <v>Needs Attention</v>
      </c>
    </row>
    <row r="55" spans="1:22" ht="15" customHeight="1" x14ac:dyDescent="0.2">
      <c r="A55" s="19" t="str">
        <f>'Raw Data'!A56</f>
        <v>CUST0053</v>
      </c>
      <c r="B55" s="19">
        <f>'Raw Data'!B56</f>
        <v>27</v>
      </c>
      <c r="C55" s="19" t="str">
        <f>'Raw Data'!C56</f>
        <v>Male</v>
      </c>
      <c r="D55" s="19" t="str">
        <f>'Raw Data'!D56</f>
        <v>Kolkata</v>
      </c>
      <c r="E55" s="19" t="str">
        <f>'Raw Data'!E56</f>
        <v>East</v>
      </c>
      <c r="F55" s="19" t="str">
        <f>'Raw Data'!F56</f>
        <v>Low</v>
      </c>
      <c r="G55" s="20">
        <f>'Raw Data'!G56</f>
        <v>24883</v>
      </c>
      <c r="H55" s="19" t="str">
        <f>'Raw Data'!H56</f>
        <v>Freelancer</v>
      </c>
      <c r="I55" s="19">
        <f>'Raw Data'!I56</f>
        <v>3</v>
      </c>
      <c r="J55" s="32">
        <f>'Raw Data'!J56</f>
        <v>759.21</v>
      </c>
      <c r="K55" s="32">
        <f>'Raw Data'!K56</f>
        <v>2277.63</v>
      </c>
      <c r="L55" s="19" t="str">
        <f>'Raw Data'!L56</f>
        <v>Travel</v>
      </c>
      <c r="M55" s="19" t="str">
        <f>'Raw Data'!M56</f>
        <v>Online</v>
      </c>
      <c r="N55" s="19" t="str">
        <f>'Raw Data'!N56</f>
        <v>Returning</v>
      </c>
      <c r="O55" s="19" t="str">
        <f>'Raw Data'!O56</f>
        <v>High</v>
      </c>
      <c r="P55" s="19" t="str">
        <f>'Raw Data'!P56</f>
        <v>Medium</v>
      </c>
      <c r="Q55" s="33">
        <f>'Raw Data'!Q56</f>
        <v>45874</v>
      </c>
      <c r="R55" s="19" t="str">
        <f ca="1">'Raw Data'!R56</f>
        <v>At Risk</v>
      </c>
      <c r="S55" s="34" t="str">
        <f>IF(B55&lt;25,"18-24",IF(B55&lt;35,"25-34",IF(B55&lt;45,"35-44",IF(B55&lt;55,"45-54","55+"))))</f>
        <v>25-34</v>
      </c>
      <c r="T55" s="34" t="str">
        <f>IF(G55&lt;25000,"Low (&lt; ₹25K)",IF(G55&lt;50000,"Mid (₹25K-50K)","High (&gt; ₹50K)"))</f>
        <v>Low (&lt; ₹25K)</v>
      </c>
      <c r="U55" s="34">
        <f ca="1">IFERROR(TODAY()-Q55,"")</f>
        <v>251</v>
      </c>
      <c r="V55" s="34" t="str">
        <f ca="1">IF(AND(U55&lt;60,I55&gt;=12,K55&gt;=80000),"Champions",IF(AND(U55&lt;90,I55&gt;=8,K55&gt;=40000),"Loyal",IF(AND(U55&gt;180,I55&lt;5),"At Risk / Churned",IF(AND(U55&lt;120,I55&gt;=6),"Potential Loyal","Needs Attention"))))</f>
        <v>At Risk / Churned</v>
      </c>
    </row>
    <row r="56" spans="1:22" ht="15" customHeight="1" x14ac:dyDescent="0.2">
      <c r="A56" s="17" t="str">
        <f>'Raw Data'!A57</f>
        <v>CUST0054</v>
      </c>
      <c r="B56" s="17">
        <f>'Raw Data'!B57</f>
        <v>35</v>
      </c>
      <c r="C56" s="17" t="str">
        <f>'Raw Data'!C57</f>
        <v>Female</v>
      </c>
      <c r="D56" s="17" t="str">
        <f>'Raw Data'!D57</f>
        <v>Ahmedabad</v>
      </c>
      <c r="E56" s="17" t="str">
        <f>'Raw Data'!E57</f>
        <v>West</v>
      </c>
      <c r="F56" s="17" t="str">
        <f>'Raw Data'!F57</f>
        <v>High</v>
      </c>
      <c r="G56" s="18">
        <f>'Raw Data'!G57</f>
        <v>114722</v>
      </c>
      <c r="H56" s="17" t="str">
        <f>'Raw Data'!H57</f>
        <v>Self-Employed</v>
      </c>
      <c r="I56" s="17">
        <f>'Raw Data'!I57</f>
        <v>15</v>
      </c>
      <c r="J56" s="35">
        <f>'Raw Data'!J57</f>
        <v>919.4</v>
      </c>
      <c r="K56" s="35">
        <f>'Raw Data'!K57</f>
        <v>13791</v>
      </c>
      <c r="L56" s="17" t="str">
        <f>'Raw Data'!L57</f>
        <v>Electronics</v>
      </c>
      <c r="M56" s="17" t="str">
        <f>'Raw Data'!M57</f>
        <v>Online</v>
      </c>
      <c r="N56" s="17" t="str">
        <f>'Raw Data'!N57</f>
        <v>Returning</v>
      </c>
      <c r="O56" s="17" t="str">
        <f>'Raw Data'!O57</f>
        <v>Low</v>
      </c>
      <c r="P56" s="17" t="str">
        <f>'Raw Data'!P57</f>
        <v>Medium</v>
      </c>
      <c r="Q56" s="36">
        <f>'Raw Data'!Q57</f>
        <v>45622</v>
      </c>
      <c r="R56" s="17" t="str">
        <f ca="1">'Raw Data'!R57</f>
        <v>General Customer</v>
      </c>
      <c r="S56" s="34" t="str">
        <f>IF(B56&lt;25,"18-24",IF(B56&lt;35,"25-34",IF(B56&lt;45,"35-44",IF(B56&lt;55,"45-54","55+"))))</f>
        <v>35-44</v>
      </c>
      <c r="T56" s="34" t="str">
        <f>IF(G56&lt;25000,"Low (&lt; ₹25K)",IF(G56&lt;50000,"Mid (₹25K-50K)","High (&gt; ₹50K)"))</f>
        <v>High (&gt; ₹50K)</v>
      </c>
      <c r="U56" s="34">
        <f ca="1">IFERROR(TODAY()-Q56,"")</f>
        <v>503</v>
      </c>
      <c r="V56" s="34" t="str">
        <f ca="1">IF(AND(U56&lt;60,I56&gt;=12,K56&gt;=80000),"Champions",IF(AND(U56&lt;90,I56&gt;=8,K56&gt;=40000),"Loyal",IF(AND(U56&gt;180,I56&lt;5),"At Risk / Churned",IF(AND(U56&lt;120,I56&gt;=6),"Potential Loyal","Needs Attention"))))</f>
        <v>Needs Attention</v>
      </c>
    </row>
    <row r="57" spans="1:22" ht="15" customHeight="1" x14ac:dyDescent="0.2">
      <c r="A57" s="19" t="str">
        <f>'Raw Data'!A58</f>
        <v>CUST0055</v>
      </c>
      <c r="B57" s="19">
        <f>'Raw Data'!B58</f>
        <v>19</v>
      </c>
      <c r="C57" s="19" t="str">
        <f>'Raw Data'!C58</f>
        <v>Female</v>
      </c>
      <c r="D57" s="19" t="str">
        <f>'Raw Data'!D58</f>
        <v>Hyderabad</v>
      </c>
      <c r="E57" s="19" t="str">
        <f>'Raw Data'!E58</f>
        <v>South</v>
      </c>
      <c r="F57" s="19" t="str">
        <f>'Raw Data'!F58</f>
        <v>High</v>
      </c>
      <c r="G57" s="20">
        <f>'Raw Data'!G58</f>
        <v>85325</v>
      </c>
      <c r="H57" s="19" t="str">
        <f>'Raw Data'!H58</f>
        <v>Freelancer</v>
      </c>
      <c r="I57" s="19">
        <f>'Raw Data'!I58</f>
        <v>19</v>
      </c>
      <c r="J57" s="32">
        <f>'Raw Data'!J58</f>
        <v>609.78</v>
      </c>
      <c r="K57" s="32">
        <f>'Raw Data'!K58</f>
        <v>11585.82</v>
      </c>
      <c r="L57" s="19" t="str">
        <f>'Raw Data'!L58</f>
        <v>Sports</v>
      </c>
      <c r="M57" s="19" t="str">
        <f>'Raw Data'!M58</f>
        <v>Online</v>
      </c>
      <c r="N57" s="19" t="str">
        <f>'Raw Data'!N58</f>
        <v>Returning</v>
      </c>
      <c r="O57" s="19" t="str">
        <f>'Raw Data'!O58</f>
        <v>High</v>
      </c>
      <c r="P57" s="19" t="str">
        <f>'Raw Data'!P58</f>
        <v>Medium</v>
      </c>
      <c r="Q57" s="33">
        <f>'Raw Data'!Q58</f>
        <v>45959</v>
      </c>
      <c r="R57" s="19" t="str">
        <f ca="1">'Raw Data'!R58</f>
        <v>General Customer</v>
      </c>
      <c r="S57" s="34" t="str">
        <f>IF(B57&lt;25,"18-24",IF(B57&lt;35,"25-34",IF(B57&lt;45,"35-44",IF(B57&lt;55,"45-54","55+"))))</f>
        <v>18-24</v>
      </c>
      <c r="T57" s="34" t="str">
        <f>IF(G57&lt;25000,"Low (&lt; ₹25K)",IF(G57&lt;50000,"Mid (₹25K-50K)","High (&gt; ₹50K)"))</f>
        <v>High (&gt; ₹50K)</v>
      </c>
      <c r="U57" s="34">
        <f ca="1">IFERROR(TODAY()-Q57,"")</f>
        <v>166</v>
      </c>
      <c r="V57" s="34" t="str">
        <f ca="1">IF(AND(U57&lt;60,I57&gt;=12,K57&gt;=80000),"Champions",IF(AND(U57&lt;90,I57&gt;=8,K57&gt;=40000),"Loyal",IF(AND(U57&gt;180,I57&lt;5),"At Risk / Churned",IF(AND(U57&lt;120,I57&gt;=6),"Potential Loyal","Needs Attention"))))</f>
        <v>Needs Attention</v>
      </c>
    </row>
    <row r="58" spans="1:22" ht="15" customHeight="1" x14ac:dyDescent="0.2">
      <c r="A58" s="17" t="str">
        <f>'Raw Data'!A59</f>
        <v>CUST0056</v>
      </c>
      <c r="B58" s="17">
        <f>'Raw Data'!B59</f>
        <v>48</v>
      </c>
      <c r="C58" s="17" t="str">
        <f>'Raw Data'!C59</f>
        <v>Other</v>
      </c>
      <c r="D58" s="17" t="str">
        <f>'Raw Data'!D59</f>
        <v>Lucknow</v>
      </c>
      <c r="E58" s="17" t="str">
        <f>'Raw Data'!E59</f>
        <v>North</v>
      </c>
      <c r="F58" s="17" t="str">
        <f>'Raw Data'!F59</f>
        <v>Mid</v>
      </c>
      <c r="G58" s="18">
        <f>'Raw Data'!G59</f>
        <v>38380</v>
      </c>
      <c r="H58" s="17" t="str">
        <f>'Raw Data'!H59</f>
        <v>Business Owner</v>
      </c>
      <c r="I58" s="17">
        <f>'Raw Data'!I59</f>
        <v>11</v>
      </c>
      <c r="J58" s="35">
        <f>'Raw Data'!J59</f>
        <v>5460.03</v>
      </c>
      <c r="K58" s="35">
        <f>'Raw Data'!K59</f>
        <v>60060.33</v>
      </c>
      <c r="L58" s="17" t="str">
        <f>'Raw Data'!L59</f>
        <v>Books</v>
      </c>
      <c r="M58" s="17" t="str">
        <f>'Raw Data'!M59</f>
        <v>Online</v>
      </c>
      <c r="N58" s="17" t="str">
        <f>'Raw Data'!N59</f>
        <v>Returning</v>
      </c>
      <c r="O58" s="17" t="str">
        <f>'Raw Data'!O59</f>
        <v>High</v>
      </c>
      <c r="P58" s="17" t="str">
        <f>'Raw Data'!P59</f>
        <v>Medium</v>
      </c>
      <c r="Q58" s="36">
        <f>'Raw Data'!Q59</f>
        <v>46002</v>
      </c>
      <c r="R58" s="17" t="str">
        <f ca="1">'Raw Data'!R59</f>
        <v>General Customer</v>
      </c>
      <c r="S58" s="34" t="str">
        <f>IF(B58&lt;25,"18-24",IF(B58&lt;35,"25-34",IF(B58&lt;45,"35-44",IF(B58&lt;55,"45-54","55+"))))</f>
        <v>45-54</v>
      </c>
      <c r="T58" s="34" t="str">
        <f>IF(G58&lt;25000,"Low (&lt; ₹25K)",IF(G58&lt;50000,"Mid (₹25K-50K)","High (&gt; ₹50K)"))</f>
        <v>Mid (₹25K-50K)</v>
      </c>
      <c r="U58" s="34">
        <f ca="1">IFERROR(TODAY()-Q58,"")</f>
        <v>123</v>
      </c>
      <c r="V58" s="34" t="str">
        <f ca="1">IF(AND(U58&lt;60,I58&gt;=12,K58&gt;=80000),"Champions",IF(AND(U58&lt;90,I58&gt;=8,K58&gt;=40000),"Loyal",IF(AND(U58&gt;180,I58&lt;5),"At Risk / Churned",IF(AND(U58&lt;120,I58&gt;=6),"Potential Loyal","Needs Attention"))))</f>
        <v>Needs Attention</v>
      </c>
    </row>
    <row r="59" spans="1:22" ht="15" customHeight="1" x14ac:dyDescent="0.2">
      <c r="A59" s="19" t="str">
        <f>'Raw Data'!A60</f>
        <v>CUST0057</v>
      </c>
      <c r="B59" s="19">
        <f>'Raw Data'!B60</f>
        <v>25</v>
      </c>
      <c r="C59" s="19" t="str">
        <f>'Raw Data'!C60</f>
        <v>Male</v>
      </c>
      <c r="D59" s="19" t="str">
        <f>'Raw Data'!D60</f>
        <v>Ahmedabad</v>
      </c>
      <c r="E59" s="19" t="str">
        <f>'Raw Data'!E60</f>
        <v>West</v>
      </c>
      <c r="F59" s="19" t="str">
        <f>'Raw Data'!F60</f>
        <v>Low</v>
      </c>
      <c r="G59" s="20">
        <f>'Raw Data'!G60</f>
        <v>22657</v>
      </c>
      <c r="H59" s="19" t="str">
        <f>'Raw Data'!H60</f>
        <v>Self-Employed</v>
      </c>
      <c r="I59" s="19">
        <f>'Raw Data'!I60</f>
        <v>1</v>
      </c>
      <c r="J59" s="32">
        <f>'Raw Data'!J60</f>
        <v>5363.98</v>
      </c>
      <c r="K59" s="32">
        <f>'Raw Data'!K60</f>
        <v>5363.98</v>
      </c>
      <c r="L59" s="19" t="str">
        <f>'Raw Data'!L60</f>
        <v>Travel</v>
      </c>
      <c r="M59" s="19" t="str">
        <f>'Raw Data'!M60</f>
        <v>Offline</v>
      </c>
      <c r="N59" s="19" t="str">
        <f>'Raw Data'!N60</f>
        <v>Returning</v>
      </c>
      <c r="O59" s="19" t="str">
        <f>'Raw Data'!O60</f>
        <v>Medium</v>
      </c>
      <c r="P59" s="19" t="str">
        <f>'Raw Data'!P60</f>
        <v>Medium</v>
      </c>
      <c r="Q59" s="33">
        <f>'Raw Data'!Q60</f>
        <v>45484</v>
      </c>
      <c r="R59" s="19" t="str">
        <f ca="1">'Raw Data'!R60</f>
        <v>At Risk</v>
      </c>
      <c r="S59" s="34" t="str">
        <f>IF(B59&lt;25,"18-24",IF(B59&lt;35,"25-34",IF(B59&lt;45,"35-44",IF(B59&lt;55,"45-54","55+"))))</f>
        <v>25-34</v>
      </c>
      <c r="T59" s="34" t="str">
        <f>IF(G59&lt;25000,"Low (&lt; ₹25K)",IF(G59&lt;50000,"Mid (₹25K-50K)","High (&gt; ₹50K)"))</f>
        <v>Low (&lt; ₹25K)</v>
      </c>
      <c r="U59" s="34">
        <f ca="1">IFERROR(TODAY()-Q59,"")</f>
        <v>641</v>
      </c>
      <c r="V59" s="34" t="str">
        <f ca="1">IF(AND(U59&lt;60,I59&gt;=12,K59&gt;=80000),"Champions",IF(AND(U59&lt;90,I59&gt;=8,K59&gt;=40000),"Loyal",IF(AND(U59&gt;180,I59&lt;5),"At Risk / Churned",IF(AND(U59&lt;120,I59&gt;=6),"Potential Loyal","Needs Attention"))))</f>
        <v>At Risk / Churned</v>
      </c>
    </row>
    <row r="60" spans="1:22" ht="15" customHeight="1" x14ac:dyDescent="0.2">
      <c r="A60" s="17" t="str">
        <f>'Raw Data'!A61</f>
        <v>CUST0058</v>
      </c>
      <c r="B60" s="17">
        <f>'Raw Data'!B61</f>
        <v>36</v>
      </c>
      <c r="C60" s="17" t="str">
        <f>'Raw Data'!C61</f>
        <v>Female</v>
      </c>
      <c r="D60" s="17" t="str">
        <f>'Raw Data'!D61</f>
        <v>Mumbai</v>
      </c>
      <c r="E60" s="17" t="str">
        <f>'Raw Data'!E61</f>
        <v>West</v>
      </c>
      <c r="F60" s="17" t="str">
        <f>'Raw Data'!F61</f>
        <v>Low</v>
      </c>
      <c r="G60" s="18">
        <f>'Raw Data'!G61</f>
        <v>17178</v>
      </c>
      <c r="H60" s="17" t="str">
        <f>'Raw Data'!H61</f>
        <v>Self-Employed</v>
      </c>
      <c r="I60" s="17">
        <f>'Raw Data'!I61</f>
        <v>4</v>
      </c>
      <c r="J60" s="35">
        <f>'Raw Data'!J61</f>
        <v>522.29</v>
      </c>
      <c r="K60" s="35">
        <f>'Raw Data'!K61</f>
        <v>2089.16</v>
      </c>
      <c r="L60" s="17" t="str">
        <f>'Raw Data'!L61</f>
        <v>Electronics</v>
      </c>
      <c r="M60" s="17" t="str">
        <f>'Raw Data'!M61</f>
        <v>Offline</v>
      </c>
      <c r="N60" s="17" t="str">
        <f>'Raw Data'!N61</f>
        <v>New</v>
      </c>
      <c r="O60" s="17" t="str">
        <f>'Raw Data'!O61</f>
        <v>Medium</v>
      </c>
      <c r="P60" s="17" t="str">
        <f>'Raw Data'!P61</f>
        <v>High</v>
      </c>
      <c r="Q60" s="36">
        <f>'Raw Data'!Q61</f>
        <v>46018</v>
      </c>
      <c r="R60" s="17" t="str">
        <f ca="1">'Raw Data'!R61</f>
        <v>Bargain Seeker</v>
      </c>
      <c r="S60" s="34" t="str">
        <f>IF(B60&lt;25,"18-24",IF(B60&lt;35,"25-34",IF(B60&lt;45,"35-44",IF(B60&lt;55,"45-54","55+"))))</f>
        <v>35-44</v>
      </c>
      <c r="T60" s="34" t="str">
        <f>IF(G60&lt;25000,"Low (&lt; ₹25K)",IF(G60&lt;50000,"Mid (₹25K-50K)","High (&gt; ₹50K)"))</f>
        <v>Low (&lt; ₹25K)</v>
      </c>
      <c r="U60" s="34">
        <f ca="1">IFERROR(TODAY()-Q60,"")</f>
        <v>107</v>
      </c>
      <c r="V60" s="34" t="str">
        <f ca="1">IF(AND(U60&lt;60,I60&gt;=12,K60&gt;=80000),"Champions",IF(AND(U60&lt;90,I60&gt;=8,K60&gt;=40000),"Loyal",IF(AND(U60&gt;180,I60&lt;5),"At Risk / Churned",IF(AND(U60&lt;120,I60&gt;=6),"Potential Loyal","Needs Attention"))))</f>
        <v>Needs Attention</v>
      </c>
    </row>
    <row r="61" spans="1:22" ht="15" customHeight="1" x14ac:dyDescent="0.2">
      <c r="A61" s="19" t="str">
        <f>'Raw Data'!A62</f>
        <v>CUST0059</v>
      </c>
      <c r="B61" s="19">
        <f>'Raw Data'!B62</f>
        <v>25</v>
      </c>
      <c r="C61" s="19" t="str">
        <f>'Raw Data'!C62</f>
        <v>Male</v>
      </c>
      <c r="D61" s="19" t="str">
        <f>'Raw Data'!D62</f>
        <v>Delhi</v>
      </c>
      <c r="E61" s="19" t="str">
        <f>'Raw Data'!E62</f>
        <v>North</v>
      </c>
      <c r="F61" s="19" t="str">
        <f>'Raw Data'!F62</f>
        <v>Low</v>
      </c>
      <c r="G61" s="20">
        <f>'Raw Data'!G62</f>
        <v>20612</v>
      </c>
      <c r="H61" s="19" t="str">
        <f>'Raw Data'!H62</f>
        <v>Student</v>
      </c>
      <c r="I61" s="19">
        <f>'Raw Data'!I62</f>
        <v>23</v>
      </c>
      <c r="J61" s="32">
        <f>'Raw Data'!J62</f>
        <v>2547.33</v>
      </c>
      <c r="K61" s="32">
        <f>'Raw Data'!K62</f>
        <v>58588.59</v>
      </c>
      <c r="L61" s="19" t="str">
        <f>'Raw Data'!L62</f>
        <v>Home &amp; Decor</v>
      </c>
      <c r="M61" s="19" t="str">
        <f>'Raw Data'!M62</f>
        <v>Offline</v>
      </c>
      <c r="N61" s="19" t="str">
        <f>'Raw Data'!N62</f>
        <v>Returning</v>
      </c>
      <c r="O61" s="19" t="str">
        <f>'Raw Data'!O62</f>
        <v>High</v>
      </c>
      <c r="P61" s="19" t="str">
        <f>'Raw Data'!P62</f>
        <v>Medium</v>
      </c>
      <c r="Q61" s="33">
        <f>'Raw Data'!Q62</f>
        <v>45786</v>
      </c>
      <c r="R61" s="19" t="str">
        <f ca="1">'Raw Data'!R62</f>
        <v>Loyal Customer</v>
      </c>
      <c r="S61" s="34" t="str">
        <f>IF(B61&lt;25,"18-24",IF(B61&lt;35,"25-34",IF(B61&lt;45,"35-44",IF(B61&lt;55,"45-54","55+"))))</f>
        <v>25-34</v>
      </c>
      <c r="T61" s="34" t="str">
        <f>IF(G61&lt;25000,"Low (&lt; ₹25K)",IF(G61&lt;50000,"Mid (₹25K-50K)","High (&gt; ₹50K)"))</f>
        <v>Low (&lt; ₹25K)</v>
      </c>
      <c r="U61" s="34">
        <f ca="1">IFERROR(TODAY()-Q61,"")</f>
        <v>339</v>
      </c>
      <c r="V61" s="34" t="str">
        <f ca="1">IF(AND(U61&lt;60,I61&gt;=12,K61&gt;=80000),"Champions",IF(AND(U61&lt;90,I61&gt;=8,K61&gt;=40000),"Loyal",IF(AND(U61&gt;180,I61&lt;5),"At Risk / Churned",IF(AND(U61&lt;120,I61&gt;=6),"Potential Loyal","Needs Attention"))))</f>
        <v>Needs Attention</v>
      </c>
    </row>
    <row r="62" spans="1:22" ht="15" customHeight="1" x14ac:dyDescent="0.2">
      <c r="A62" s="17" t="str">
        <f>'Raw Data'!A63</f>
        <v>CUST0060</v>
      </c>
      <c r="B62" s="17">
        <f>'Raw Data'!B63</f>
        <v>56</v>
      </c>
      <c r="C62" s="17" t="str">
        <f>'Raw Data'!C63</f>
        <v>Male</v>
      </c>
      <c r="D62" s="17" t="str">
        <f>'Raw Data'!D63</f>
        <v>Jaipur</v>
      </c>
      <c r="E62" s="17" t="str">
        <f>'Raw Data'!E63</f>
        <v>North</v>
      </c>
      <c r="F62" s="17" t="str">
        <f>'Raw Data'!F63</f>
        <v>Low</v>
      </c>
      <c r="G62" s="18">
        <f>'Raw Data'!G63</f>
        <v>18327</v>
      </c>
      <c r="H62" s="17" t="str">
        <f>'Raw Data'!H63</f>
        <v>Business Owner</v>
      </c>
      <c r="I62" s="17">
        <f>'Raw Data'!I63</f>
        <v>3</v>
      </c>
      <c r="J62" s="35">
        <f>'Raw Data'!J63</f>
        <v>2427.11</v>
      </c>
      <c r="K62" s="35">
        <f>'Raw Data'!K63</f>
        <v>7281.33</v>
      </c>
      <c r="L62" s="17" t="str">
        <f>'Raw Data'!L63</f>
        <v>Electronics</v>
      </c>
      <c r="M62" s="17" t="str">
        <f>'Raw Data'!M63</f>
        <v>Offline</v>
      </c>
      <c r="N62" s="17" t="str">
        <f>'Raw Data'!N63</f>
        <v>New</v>
      </c>
      <c r="O62" s="17" t="str">
        <f>'Raw Data'!O63</f>
        <v>High</v>
      </c>
      <c r="P62" s="17" t="str">
        <f>'Raw Data'!P63</f>
        <v>Medium</v>
      </c>
      <c r="Q62" s="36">
        <f>'Raw Data'!Q63</f>
        <v>45811</v>
      </c>
      <c r="R62" s="17" t="str">
        <f ca="1">'Raw Data'!R63</f>
        <v>At Risk</v>
      </c>
      <c r="S62" s="34" t="str">
        <f>IF(B62&lt;25,"18-24",IF(B62&lt;35,"25-34",IF(B62&lt;45,"35-44",IF(B62&lt;55,"45-54","55+"))))</f>
        <v>55+</v>
      </c>
      <c r="T62" s="34" t="str">
        <f>IF(G62&lt;25000,"Low (&lt; ₹25K)",IF(G62&lt;50000,"Mid (₹25K-50K)","High (&gt; ₹50K)"))</f>
        <v>Low (&lt; ₹25K)</v>
      </c>
      <c r="U62" s="34">
        <f ca="1">IFERROR(TODAY()-Q62,"")</f>
        <v>314</v>
      </c>
      <c r="V62" s="34" t="str">
        <f ca="1">IF(AND(U62&lt;60,I62&gt;=12,K62&gt;=80000),"Champions",IF(AND(U62&lt;90,I62&gt;=8,K62&gt;=40000),"Loyal",IF(AND(U62&gt;180,I62&lt;5),"At Risk / Churned",IF(AND(U62&lt;120,I62&gt;=6),"Potential Loyal","Needs Attention"))))</f>
        <v>At Risk / Churned</v>
      </c>
    </row>
    <row r="63" spans="1:22" ht="15" customHeight="1" x14ac:dyDescent="0.2">
      <c r="A63" s="19" t="str">
        <f>'Raw Data'!A64</f>
        <v>CUST0061</v>
      </c>
      <c r="B63" s="19">
        <f>'Raw Data'!B64</f>
        <v>49</v>
      </c>
      <c r="C63" s="19" t="str">
        <f>'Raw Data'!C64</f>
        <v>Other</v>
      </c>
      <c r="D63" s="19" t="str">
        <f>'Raw Data'!D64</f>
        <v>Chennai</v>
      </c>
      <c r="E63" s="19" t="str">
        <f>'Raw Data'!E64</f>
        <v>South</v>
      </c>
      <c r="F63" s="19" t="str">
        <f>'Raw Data'!F64</f>
        <v>High</v>
      </c>
      <c r="G63" s="20">
        <f>'Raw Data'!G64</f>
        <v>108529</v>
      </c>
      <c r="H63" s="19" t="str">
        <f>'Raw Data'!H64</f>
        <v>Freelancer</v>
      </c>
      <c r="I63" s="19">
        <f>'Raw Data'!I64</f>
        <v>18</v>
      </c>
      <c r="J63" s="32">
        <f>'Raw Data'!J64</f>
        <v>4029.43</v>
      </c>
      <c r="K63" s="32">
        <f>'Raw Data'!K64</f>
        <v>72529.740000000005</v>
      </c>
      <c r="L63" s="19" t="str">
        <f>'Raw Data'!L64</f>
        <v>Beauty</v>
      </c>
      <c r="M63" s="19" t="str">
        <f>'Raw Data'!M64</f>
        <v>Online</v>
      </c>
      <c r="N63" s="19" t="str">
        <f>'Raw Data'!N64</f>
        <v>Returning</v>
      </c>
      <c r="O63" s="19" t="str">
        <f>'Raw Data'!O64</f>
        <v>Medium</v>
      </c>
      <c r="P63" s="19" t="str">
        <f>'Raw Data'!P64</f>
        <v>High</v>
      </c>
      <c r="Q63" s="33">
        <f>'Raw Data'!Q64</f>
        <v>45678</v>
      </c>
      <c r="R63" s="19" t="str">
        <f ca="1">'Raw Data'!R64</f>
        <v>Loyal Customer</v>
      </c>
      <c r="S63" s="34" t="str">
        <f>IF(B63&lt;25,"18-24",IF(B63&lt;35,"25-34",IF(B63&lt;45,"35-44",IF(B63&lt;55,"45-54","55+"))))</f>
        <v>45-54</v>
      </c>
      <c r="T63" s="34" t="str">
        <f>IF(G63&lt;25000,"Low (&lt; ₹25K)",IF(G63&lt;50000,"Mid (₹25K-50K)","High (&gt; ₹50K)"))</f>
        <v>High (&gt; ₹50K)</v>
      </c>
      <c r="U63" s="34">
        <f ca="1">IFERROR(TODAY()-Q63,"")</f>
        <v>447</v>
      </c>
      <c r="V63" s="34" t="str">
        <f ca="1">IF(AND(U63&lt;60,I63&gt;=12,K63&gt;=80000),"Champions",IF(AND(U63&lt;90,I63&gt;=8,K63&gt;=40000),"Loyal",IF(AND(U63&gt;180,I63&lt;5),"At Risk / Churned",IF(AND(U63&lt;120,I63&gt;=6),"Potential Loyal","Needs Attention"))))</f>
        <v>Needs Attention</v>
      </c>
    </row>
    <row r="64" spans="1:22" ht="15" customHeight="1" x14ac:dyDescent="0.2">
      <c r="A64" s="17" t="str">
        <f>'Raw Data'!A65</f>
        <v>CUST0062</v>
      </c>
      <c r="B64" s="17">
        <f>'Raw Data'!B65</f>
        <v>44</v>
      </c>
      <c r="C64" s="17" t="str">
        <f>'Raw Data'!C65</f>
        <v>Male</v>
      </c>
      <c r="D64" s="17" t="str">
        <f>'Raw Data'!D65</f>
        <v>Hyderabad</v>
      </c>
      <c r="E64" s="17" t="str">
        <f>'Raw Data'!E65</f>
        <v>South</v>
      </c>
      <c r="F64" s="17" t="str">
        <f>'Raw Data'!F65</f>
        <v>High</v>
      </c>
      <c r="G64" s="18">
        <f>'Raw Data'!G65</f>
        <v>111993</v>
      </c>
      <c r="H64" s="17" t="str">
        <f>'Raw Data'!H65</f>
        <v>Business Owner</v>
      </c>
      <c r="I64" s="17">
        <f>'Raw Data'!I65</f>
        <v>23</v>
      </c>
      <c r="J64" s="35">
        <f>'Raw Data'!J65</f>
        <v>7333.41</v>
      </c>
      <c r="K64" s="35">
        <f>'Raw Data'!K65</f>
        <v>168668.43</v>
      </c>
      <c r="L64" s="17" t="str">
        <f>'Raw Data'!L65</f>
        <v>Travel</v>
      </c>
      <c r="M64" s="17" t="str">
        <f>'Raw Data'!M65</f>
        <v>Online</v>
      </c>
      <c r="N64" s="17" t="str">
        <f>'Raw Data'!N65</f>
        <v>Returning</v>
      </c>
      <c r="O64" s="17" t="str">
        <f>'Raw Data'!O65</f>
        <v>Medium</v>
      </c>
      <c r="P64" s="17" t="str">
        <f>'Raw Data'!P65</f>
        <v>High</v>
      </c>
      <c r="Q64" s="36">
        <f>'Raw Data'!Q65</f>
        <v>45959</v>
      </c>
      <c r="R64" s="17" t="str">
        <f ca="1">'Raw Data'!R65</f>
        <v>Loyal Customer</v>
      </c>
      <c r="S64" s="34" t="str">
        <f>IF(B64&lt;25,"18-24",IF(B64&lt;35,"25-34",IF(B64&lt;45,"35-44",IF(B64&lt;55,"45-54","55+"))))</f>
        <v>35-44</v>
      </c>
      <c r="T64" s="34" t="str">
        <f>IF(G64&lt;25000,"Low (&lt; ₹25K)",IF(G64&lt;50000,"Mid (₹25K-50K)","High (&gt; ₹50K)"))</f>
        <v>High (&gt; ₹50K)</v>
      </c>
      <c r="U64" s="34">
        <f ca="1">IFERROR(TODAY()-Q64,"")</f>
        <v>166</v>
      </c>
      <c r="V64" s="34" t="str">
        <f ca="1">IF(AND(U64&lt;60,I64&gt;=12,K64&gt;=80000),"Champions",IF(AND(U64&lt;90,I64&gt;=8,K64&gt;=40000),"Loyal",IF(AND(U64&gt;180,I64&lt;5),"At Risk / Churned",IF(AND(U64&lt;120,I64&gt;=6),"Potential Loyal","Needs Attention"))))</f>
        <v>Needs Attention</v>
      </c>
    </row>
    <row r="65" spans="1:22" ht="15" customHeight="1" x14ac:dyDescent="0.2">
      <c r="A65" s="19" t="str">
        <f>'Raw Data'!A66</f>
        <v>CUST0063</v>
      </c>
      <c r="B65" s="19">
        <f>'Raw Data'!B66</f>
        <v>24</v>
      </c>
      <c r="C65" s="19" t="str">
        <f>'Raw Data'!C66</f>
        <v>Male</v>
      </c>
      <c r="D65" s="19" t="str">
        <f>'Raw Data'!D66</f>
        <v>Bangalore</v>
      </c>
      <c r="E65" s="19" t="str">
        <f>'Raw Data'!E66</f>
        <v>South</v>
      </c>
      <c r="F65" s="19" t="str">
        <f>'Raw Data'!F66</f>
        <v>High</v>
      </c>
      <c r="G65" s="20">
        <f>'Raw Data'!G66</f>
        <v>63069</v>
      </c>
      <c r="H65" s="19" t="str">
        <f>'Raw Data'!H66</f>
        <v>Freelancer</v>
      </c>
      <c r="I65" s="19">
        <f>'Raw Data'!I66</f>
        <v>17</v>
      </c>
      <c r="J65" s="32">
        <f>'Raw Data'!J66</f>
        <v>7310.4</v>
      </c>
      <c r="K65" s="32">
        <f>'Raw Data'!K66</f>
        <v>124276.8</v>
      </c>
      <c r="L65" s="19" t="str">
        <f>'Raw Data'!L66</f>
        <v>Fashion</v>
      </c>
      <c r="M65" s="19" t="str">
        <f>'Raw Data'!M66</f>
        <v>Offline</v>
      </c>
      <c r="N65" s="19" t="str">
        <f>'Raw Data'!N66</f>
        <v>Returning</v>
      </c>
      <c r="O65" s="19" t="str">
        <f>'Raw Data'!O66</f>
        <v>Low</v>
      </c>
      <c r="P65" s="19" t="str">
        <f>'Raw Data'!P66</f>
        <v>Low</v>
      </c>
      <c r="Q65" s="33">
        <f>'Raw Data'!Q66</f>
        <v>45962</v>
      </c>
      <c r="R65" s="19" t="str">
        <f ca="1">'Raw Data'!R66</f>
        <v>Loyal Customer</v>
      </c>
      <c r="S65" s="34" t="str">
        <f>IF(B65&lt;25,"18-24",IF(B65&lt;35,"25-34",IF(B65&lt;45,"35-44",IF(B65&lt;55,"45-54","55+"))))</f>
        <v>18-24</v>
      </c>
      <c r="T65" s="34" t="str">
        <f>IF(G65&lt;25000,"Low (&lt; ₹25K)",IF(G65&lt;50000,"Mid (₹25K-50K)","High (&gt; ₹50K)"))</f>
        <v>High (&gt; ₹50K)</v>
      </c>
      <c r="U65" s="34">
        <f ca="1">IFERROR(TODAY()-Q65,"")</f>
        <v>163</v>
      </c>
      <c r="V65" s="34" t="str">
        <f ca="1">IF(AND(U65&lt;60,I65&gt;=12,K65&gt;=80000),"Champions",IF(AND(U65&lt;90,I65&gt;=8,K65&gt;=40000),"Loyal",IF(AND(U65&gt;180,I65&lt;5),"At Risk / Churned",IF(AND(U65&lt;120,I65&gt;=6),"Potential Loyal","Needs Attention"))))</f>
        <v>Needs Attention</v>
      </c>
    </row>
    <row r="66" spans="1:22" ht="15" customHeight="1" x14ac:dyDescent="0.2">
      <c r="A66" s="17" t="str">
        <f>'Raw Data'!A67</f>
        <v>CUST0064</v>
      </c>
      <c r="B66" s="17">
        <f>'Raw Data'!B67</f>
        <v>59</v>
      </c>
      <c r="C66" s="17" t="str">
        <f>'Raw Data'!C67</f>
        <v>Female</v>
      </c>
      <c r="D66" s="17" t="str">
        <f>'Raw Data'!D67</f>
        <v>Chennai</v>
      </c>
      <c r="E66" s="17" t="str">
        <f>'Raw Data'!E67</f>
        <v>South</v>
      </c>
      <c r="F66" s="17" t="str">
        <f>'Raw Data'!F67</f>
        <v>Mid</v>
      </c>
      <c r="G66" s="18">
        <f>'Raw Data'!G67</f>
        <v>35766</v>
      </c>
      <c r="H66" s="17" t="str">
        <f>'Raw Data'!H67</f>
        <v>Freelancer</v>
      </c>
      <c r="I66" s="17">
        <f>'Raw Data'!I67</f>
        <v>13</v>
      </c>
      <c r="J66" s="35">
        <f>'Raw Data'!J67</f>
        <v>7646.87</v>
      </c>
      <c r="K66" s="35">
        <f>'Raw Data'!K67</f>
        <v>99409.31</v>
      </c>
      <c r="L66" s="17" t="str">
        <f>'Raw Data'!L67</f>
        <v>Electronics</v>
      </c>
      <c r="M66" s="17" t="str">
        <f>'Raw Data'!M67</f>
        <v>Online</v>
      </c>
      <c r="N66" s="17" t="str">
        <f>'Raw Data'!N67</f>
        <v>Returning</v>
      </c>
      <c r="O66" s="17" t="str">
        <f>'Raw Data'!O67</f>
        <v>Medium</v>
      </c>
      <c r="P66" s="17" t="str">
        <f>'Raw Data'!P67</f>
        <v>High</v>
      </c>
      <c r="Q66" s="36">
        <f>'Raw Data'!Q67</f>
        <v>45791</v>
      </c>
      <c r="R66" s="17" t="str">
        <f ca="1">'Raw Data'!R67</f>
        <v>Loyal Customer</v>
      </c>
      <c r="S66" s="34" t="str">
        <f>IF(B66&lt;25,"18-24",IF(B66&lt;35,"25-34",IF(B66&lt;45,"35-44",IF(B66&lt;55,"45-54","55+"))))</f>
        <v>55+</v>
      </c>
      <c r="T66" s="34" t="str">
        <f>IF(G66&lt;25000,"Low (&lt; ₹25K)",IF(G66&lt;50000,"Mid (₹25K-50K)","High (&gt; ₹50K)"))</f>
        <v>Mid (₹25K-50K)</v>
      </c>
      <c r="U66" s="34">
        <f ca="1">IFERROR(TODAY()-Q66,"")</f>
        <v>334</v>
      </c>
      <c r="V66" s="34" t="str">
        <f ca="1">IF(AND(U66&lt;60,I66&gt;=12,K66&gt;=80000),"Champions",IF(AND(U66&lt;90,I66&gt;=8,K66&gt;=40000),"Loyal",IF(AND(U66&gt;180,I66&lt;5),"At Risk / Churned",IF(AND(U66&lt;120,I66&gt;=6),"Potential Loyal","Needs Attention"))))</f>
        <v>Needs Attention</v>
      </c>
    </row>
    <row r="67" spans="1:22" ht="15" customHeight="1" x14ac:dyDescent="0.2">
      <c r="A67" s="19" t="str">
        <f>'Raw Data'!A68</f>
        <v>CUST0065</v>
      </c>
      <c r="B67" s="19">
        <f>'Raw Data'!B68</f>
        <v>65</v>
      </c>
      <c r="C67" s="19" t="str">
        <f>'Raw Data'!C68</f>
        <v>Other</v>
      </c>
      <c r="D67" s="19" t="str">
        <f>'Raw Data'!D68</f>
        <v>Hyderabad</v>
      </c>
      <c r="E67" s="19" t="str">
        <f>'Raw Data'!E68</f>
        <v>South</v>
      </c>
      <c r="F67" s="19" t="str">
        <f>'Raw Data'!F68</f>
        <v>High</v>
      </c>
      <c r="G67" s="20">
        <f>'Raw Data'!G68</f>
        <v>62903</v>
      </c>
      <c r="H67" s="19" t="str">
        <f>'Raw Data'!H68</f>
        <v>Self-Employed</v>
      </c>
      <c r="I67" s="19">
        <f>'Raw Data'!I68</f>
        <v>21</v>
      </c>
      <c r="J67" s="32">
        <f>'Raw Data'!J68</f>
        <v>5719.96</v>
      </c>
      <c r="K67" s="32">
        <f>'Raw Data'!K68</f>
        <v>120119.16</v>
      </c>
      <c r="L67" s="19" t="str">
        <f>'Raw Data'!L68</f>
        <v>Electronics</v>
      </c>
      <c r="M67" s="19" t="str">
        <f>'Raw Data'!M68</f>
        <v>Offline</v>
      </c>
      <c r="N67" s="19" t="str">
        <f>'Raw Data'!N68</f>
        <v>Returning</v>
      </c>
      <c r="O67" s="19" t="str">
        <f>'Raw Data'!O68</f>
        <v>Low</v>
      </c>
      <c r="P67" s="19" t="str">
        <f>'Raw Data'!P68</f>
        <v>Low</v>
      </c>
      <c r="Q67" s="33">
        <f>'Raw Data'!Q68</f>
        <v>45598</v>
      </c>
      <c r="R67" s="19" t="str">
        <f ca="1">'Raw Data'!R68</f>
        <v>Loyal Customer</v>
      </c>
      <c r="S67" s="34" t="str">
        <f>IF(B67&lt;25,"18-24",IF(B67&lt;35,"25-34",IF(B67&lt;45,"35-44",IF(B67&lt;55,"45-54","55+"))))</f>
        <v>55+</v>
      </c>
      <c r="T67" s="34" t="str">
        <f>IF(G67&lt;25000,"Low (&lt; ₹25K)",IF(G67&lt;50000,"Mid (₹25K-50K)","High (&gt; ₹50K)"))</f>
        <v>High (&gt; ₹50K)</v>
      </c>
      <c r="U67" s="34">
        <f ca="1">IFERROR(TODAY()-Q67,"")</f>
        <v>527</v>
      </c>
      <c r="V67" s="34" t="str">
        <f ca="1">IF(AND(U67&lt;60,I67&gt;=12,K67&gt;=80000),"Champions",IF(AND(U67&lt;90,I67&gt;=8,K67&gt;=40000),"Loyal",IF(AND(U67&gt;180,I67&lt;5),"At Risk / Churned",IF(AND(U67&lt;120,I67&gt;=6),"Potential Loyal","Needs Attention"))))</f>
        <v>Needs Attention</v>
      </c>
    </row>
    <row r="68" spans="1:22" ht="15" customHeight="1" x14ac:dyDescent="0.2">
      <c r="A68" s="17" t="str">
        <f>'Raw Data'!A69</f>
        <v>CUST0066</v>
      </c>
      <c r="B68" s="17">
        <f>'Raw Data'!B69</f>
        <v>27</v>
      </c>
      <c r="C68" s="17" t="str">
        <f>'Raw Data'!C69</f>
        <v>Male</v>
      </c>
      <c r="D68" s="17" t="str">
        <f>'Raw Data'!D69</f>
        <v>Mumbai</v>
      </c>
      <c r="E68" s="17" t="str">
        <f>'Raw Data'!E69</f>
        <v>West</v>
      </c>
      <c r="F68" s="17" t="str">
        <f>'Raw Data'!F69</f>
        <v>Mid</v>
      </c>
      <c r="G68" s="18">
        <f>'Raw Data'!G69</f>
        <v>42405</v>
      </c>
      <c r="H68" s="17" t="str">
        <f>'Raw Data'!H69</f>
        <v>Self-Employed</v>
      </c>
      <c r="I68" s="17">
        <f>'Raw Data'!I69</f>
        <v>19</v>
      </c>
      <c r="J68" s="35">
        <f>'Raw Data'!J69</f>
        <v>5549.86</v>
      </c>
      <c r="K68" s="35">
        <f>'Raw Data'!K69</f>
        <v>105447.34</v>
      </c>
      <c r="L68" s="17" t="str">
        <f>'Raw Data'!L69</f>
        <v>Home &amp; Decor</v>
      </c>
      <c r="M68" s="17" t="str">
        <f>'Raw Data'!M69</f>
        <v>Offline</v>
      </c>
      <c r="N68" s="17" t="str">
        <f>'Raw Data'!N69</f>
        <v>Returning</v>
      </c>
      <c r="O68" s="17" t="str">
        <f>'Raw Data'!O69</f>
        <v>Low</v>
      </c>
      <c r="P68" s="17" t="str">
        <f>'Raw Data'!P69</f>
        <v>Low</v>
      </c>
      <c r="Q68" s="36">
        <f>'Raw Data'!Q69</f>
        <v>45916</v>
      </c>
      <c r="R68" s="17" t="str">
        <f ca="1">'Raw Data'!R69</f>
        <v>Loyal Customer</v>
      </c>
      <c r="S68" s="34" t="str">
        <f>IF(B68&lt;25,"18-24",IF(B68&lt;35,"25-34",IF(B68&lt;45,"35-44",IF(B68&lt;55,"45-54","55+"))))</f>
        <v>25-34</v>
      </c>
      <c r="T68" s="34" t="str">
        <f>IF(G68&lt;25000,"Low (&lt; ₹25K)",IF(G68&lt;50000,"Mid (₹25K-50K)","High (&gt; ₹50K)"))</f>
        <v>Mid (₹25K-50K)</v>
      </c>
      <c r="U68" s="34">
        <f ca="1">IFERROR(TODAY()-Q68,"")</f>
        <v>209</v>
      </c>
      <c r="V68" s="34" t="str">
        <f ca="1">IF(AND(U68&lt;60,I68&gt;=12,K68&gt;=80000),"Champions",IF(AND(U68&lt;90,I68&gt;=8,K68&gt;=40000),"Loyal",IF(AND(U68&gt;180,I68&lt;5),"At Risk / Churned",IF(AND(U68&lt;120,I68&gt;=6),"Potential Loyal","Needs Attention"))))</f>
        <v>Needs Attention</v>
      </c>
    </row>
    <row r="69" spans="1:22" ht="15" customHeight="1" x14ac:dyDescent="0.2">
      <c r="A69" s="19" t="str">
        <f>'Raw Data'!A70</f>
        <v>CUST0067</v>
      </c>
      <c r="B69" s="19">
        <f>'Raw Data'!B70</f>
        <v>34</v>
      </c>
      <c r="C69" s="19" t="str">
        <f>'Raw Data'!C70</f>
        <v>Male</v>
      </c>
      <c r="D69" s="19" t="str">
        <f>'Raw Data'!D70</f>
        <v>Lucknow</v>
      </c>
      <c r="E69" s="19" t="str">
        <f>'Raw Data'!E70</f>
        <v>North</v>
      </c>
      <c r="F69" s="19" t="str">
        <f>'Raw Data'!F70</f>
        <v>Low</v>
      </c>
      <c r="G69" s="20">
        <f>'Raw Data'!G70</f>
        <v>17529</v>
      </c>
      <c r="H69" s="19" t="str">
        <f>'Raw Data'!H70</f>
        <v>Salaried</v>
      </c>
      <c r="I69" s="19">
        <f>'Raw Data'!I70</f>
        <v>15</v>
      </c>
      <c r="J69" s="32">
        <f>'Raw Data'!J70</f>
        <v>7239.31</v>
      </c>
      <c r="K69" s="32">
        <f>'Raw Data'!K70</f>
        <v>108589.65</v>
      </c>
      <c r="L69" s="19" t="str">
        <f>'Raw Data'!L70</f>
        <v>Sports</v>
      </c>
      <c r="M69" s="19" t="str">
        <f>'Raw Data'!M70</f>
        <v>Offline</v>
      </c>
      <c r="N69" s="19" t="str">
        <f>'Raw Data'!N70</f>
        <v>Returning</v>
      </c>
      <c r="O69" s="19" t="str">
        <f>'Raw Data'!O70</f>
        <v>Medium</v>
      </c>
      <c r="P69" s="19" t="str">
        <f>'Raw Data'!P70</f>
        <v>Low</v>
      </c>
      <c r="Q69" s="33">
        <f>'Raw Data'!Q70</f>
        <v>45744</v>
      </c>
      <c r="R69" s="19" t="str">
        <f ca="1">'Raw Data'!R70</f>
        <v>Loyal Customer</v>
      </c>
      <c r="S69" s="34" t="str">
        <f>IF(B69&lt;25,"18-24",IF(B69&lt;35,"25-34",IF(B69&lt;45,"35-44",IF(B69&lt;55,"45-54","55+"))))</f>
        <v>25-34</v>
      </c>
      <c r="T69" s="34" t="str">
        <f>IF(G69&lt;25000,"Low (&lt; ₹25K)",IF(G69&lt;50000,"Mid (₹25K-50K)","High (&gt; ₹50K)"))</f>
        <v>Low (&lt; ₹25K)</v>
      </c>
      <c r="U69" s="34">
        <f ca="1">IFERROR(TODAY()-Q69,"")</f>
        <v>381</v>
      </c>
      <c r="V69" s="34" t="str">
        <f ca="1">IF(AND(U69&lt;60,I69&gt;=12,K69&gt;=80000),"Champions",IF(AND(U69&lt;90,I69&gt;=8,K69&gt;=40000),"Loyal",IF(AND(U69&gt;180,I69&lt;5),"At Risk / Churned",IF(AND(U69&lt;120,I69&gt;=6),"Potential Loyal","Needs Attention"))))</f>
        <v>Needs Attention</v>
      </c>
    </row>
    <row r="70" spans="1:22" ht="15" customHeight="1" x14ac:dyDescent="0.2">
      <c r="A70" s="17" t="str">
        <f>'Raw Data'!A71</f>
        <v>CUST0068</v>
      </c>
      <c r="B70" s="17">
        <f>'Raw Data'!B71</f>
        <v>42</v>
      </c>
      <c r="C70" s="17" t="str">
        <f>'Raw Data'!C71</f>
        <v>Male</v>
      </c>
      <c r="D70" s="17" t="str">
        <f>'Raw Data'!D71</f>
        <v>Chennai</v>
      </c>
      <c r="E70" s="17" t="str">
        <f>'Raw Data'!E71</f>
        <v>South</v>
      </c>
      <c r="F70" s="17" t="str">
        <f>'Raw Data'!F71</f>
        <v>Mid</v>
      </c>
      <c r="G70" s="18">
        <f>'Raw Data'!G71</f>
        <v>40833</v>
      </c>
      <c r="H70" s="17" t="str">
        <f>'Raw Data'!H71</f>
        <v>Self-Employed</v>
      </c>
      <c r="I70" s="17">
        <f>'Raw Data'!I71</f>
        <v>8</v>
      </c>
      <c r="J70" s="35">
        <f>'Raw Data'!J71</f>
        <v>3236.51</v>
      </c>
      <c r="K70" s="35">
        <f>'Raw Data'!K71</f>
        <v>25892.080000000002</v>
      </c>
      <c r="L70" s="17" t="str">
        <f>'Raw Data'!L71</f>
        <v>Books</v>
      </c>
      <c r="M70" s="17" t="str">
        <f>'Raw Data'!M71</f>
        <v>Offline</v>
      </c>
      <c r="N70" s="17" t="str">
        <f>'Raw Data'!N71</f>
        <v>New</v>
      </c>
      <c r="O70" s="17" t="str">
        <f>'Raw Data'!O71</f>
        <v>Medium</v>
      </c>
      <c r="P70" s="17" t="str">
        <f>'Raw Data'!P71</f>
        <v>Low</v>
      </c>
      <c r="Q70" s="36">
        <f>'Raw Data'!Q71</f>
        <v>46008</v>
      </c>
      <c r="R70" s="17" t="str">
        <f ca="1">'Raw Data'!R71</f>
        <v>General Customer</v>
      </c>
      <c r="S70" s="34" t="str">
        <f>IF(B70&lt;25,"18-24",IF(B70&lt;35,"25-34",IF(B70&lt;45,"35-44",IF(B70&lt;55,"45-54","55+"))))</f>
        <v>35-44</v>
      </c>
      <c r="T70" s="34" t="str">
        <f>IF(G70&lt;25000,"Low (&lt; ₹25K)",IF(G70&lt;50000,"Mid (₹25K-50K)","High (&gt; ₹50K)"))</f>
        <v>Mid (₹25K-50K)</v>
      </c>
      <c r="U70" s="34">
        <f ca="1">IFERROR(TODAY()-Q70,"")</f>
        <v>117</v>
      </c>
      <c r="V70" s="34" t="str">
        <f ca="1">IF(AND(U70&lt;60,I70&gt;=12,K70&gt;=80000),"Champions",IF(AND(U70&lt;90,I70&gt;=8,K70&gt;=40000),"Loyal",IF(AND(U70&gt;180,I70&lt;5),"At Risk / Churned",IF(AND(U70&lt;120,I70&gt;=6),"Potential Loyal","Needs Attention"))))</f>
        <v>Potential Loyal</v>
      </c>
    </row>
    <row r="71" spans="1:22" ht="15" customHeight="1" x14ac:dyDescent="0.2">
      <c r="A71" s="19" t="str">
        <f>'Raw Data'!A72</f>
        <v>CUST0069</v>
      </c>
      <c r="B71" s="19">
        <f>'Raw Data'!B72</f>
        <v>65</v>
      </c>
      <c r="C71" s="19" t="str">
        <f>'Raw Data'!C72</f>
        <v>Female</v>
      </c>
      <c r="D71" s="19" t="str">
        <f>'Raw Data'!D72</f>
        <v>Mumbai</v>
      </c>
      <c r="E71" s="19" t="str">
        <f>'Raw Data'!E72</f>
        <v>West</v>
      </c>
      <c r="F71" s="19" t="str">
        <f>'Raw Data'!F72</f>
        <v>High</v>
      </c>
      <c r="G71" s="20">
        <f>'Raw Data'!G72</f>
        <v>80162</v>
      </c>
      <c r="H71" s="19" t="str">
        <f>'Raw Data'!H72</f>
        <v>Student</v>
      </c>
      <c r="I71" s="19">
        <f>'Raw Data'!I72</f>
        <v>20</v>
      </c>
      <c r="J71" s="32">
        <f>'Raw Data'!J72</f>
        <v>6474.88</v>
      </c>
      <c r="K71" s="32">
        <f>'Raw Data'!K72</f>
        <v>129497.60000000001</v>
      </c>
      <c r="L71" s="19" t="str">
        <f>'Raw Data'!L72</f>
        <v>Grocery</v>
      </c>
      <c r="M71" s="19" t="str">
        <f>'Raw Data'!M72</f>
        <v>Online</v>
      </c>
      <c r="N71" s="19" t="str">
        <f>'Raw Data'!N72</f>
        <v>Returning</v>
      </c>
      <c r="O71" s="19" t="str">
        <f>'Raw Data'!O72</f>
        <v>Low</v>
      </c>
      <c r="P71" s="19" t="str">
        <f>'Raw Data'!P72</f>
        <v>Low</v>
      </c>
      <c r="Q71" s="33">
        <f>'Raw Data'!Q72</f>
        <v>45548</v>
      </c>
      <c r="R71" s="19" t="str">
        <f ca="1">'Raw Data'!R72</f>
        <v>Loyal Customer</v>
      </c>
      <c r="S71" s="34" t="str">
        <f>IF(B71&lt;25,"18-24",IF(B71&lt;35,"25-34",IF(B71&lt;45,"35-44",IF(B71&lt;55,"45-54","55+"))))</f>
        <v>55+</v>
      </c>
      <c r="T71" s="34" t="str">
        <f>IF(G71&lt;25000,"Low (&lt; ₹25K)",IF(G71&lt;50000,"Mid (₹25K-50K)","High (&gt; ₹50K)"))</f>
        <v>High (&gt; ₹50K)</v>
      </c>
      <c r="U71" s="34">
        <f ca="1">IFERROR(TODAY()-Q71,"")</f>
        <v>577</v>
      </c>
      <c r="V71" s="34" t="str">
        <f ca="1">IF(AND(U71&lt;60,I71&gt;=12,K71&gt;=80000),"Champions",IF(AND(U71&lt;90,I71&gt;=8,K71&gt;=40000),"Loyal",IF(AND(U71&gt;180,I71&lt;5),"At Risk / Churned",IF(AND(U71&lt;120,I71&gt;=6),"Potential Loyal","Needs Attention"))))</f>
        <v>Needs Attention</v>
      </c>
    </row>
    <row r="72" spans="1:22" ht="15" customHeight="1" x14ac:dyDescent="0.2">
      <c r="A72" s="17" t="str">
        <f>'Raw Data'!A73</f>
        <v>CUST0070</v>
      </c>
      <c r="B72" s="17">
        <f>'Raw Data'!B73</f>
        <v>41</v>
      </c>
      <c r="C72" s="17" t="str">
        <f>'Raw Data'!C73</f>
        <v>Male</v>
      </c>
      <c r="D72" s="17" t="str">
        <f>'Raw Data'!D73</f>
        <v>Mumbai</v>
      </c>
      <c r="E72" s="17" t="str">
        <f>'Raw Data'!E73</f>
        <v>West</v>
      </c>
      <c r="F72" s="17" t="str">
        <f>'Raw Data'!F73</f>
        <v>Mid</v>
      </c>
      <c r="G72" s="18">
        <f>'Raw Data'!G73</f>
        <v>29306</v>
      </c>
      <c r="H72" s="17" t="str">
        <f>'Raw Data'!H73</f>
        <v>Business Owner</v>
      </c>
      <c r="I72" s="17">
        <f>'Raw Data'!I73</f>
        <v>10</v>
      </c>
      <c r="J72" s="35">
        <f>'Raw Data'!J73</f>
        <v>2815.74</v>
      </c>
      <c r="K72" s="35">
        <f>'Raw Data'!K73</f>
        <v>28157.4</v>
      </c>
      <c r="L72" s="17" t="str">
        <f>'Raw Data'!L73</f>
        <v>Beauty</v>
      </c>
      <c r="M72" s="17" t="str">
        <f>'Raw Data'!M73</f>
        <v>Offline</v>
      </c>
      <c r="N72" s="17" t="str">
        <f>'Raw Data'!N73</f>
        <v>Returning</v>
      </c>
      <c r="O72" s="17" t="str">
        <f>'Raw Data'!O73</f>
        <v>Medium</v>
      </c>
      <c r="P72" s="17" t="str">
        <f>'Raw Data'!P73</f>
        <v>Low</v>
      </c>
      <c r="Q72" s="36">
        <f>'Raw Data'!Q73</f>
        <v>45844</v>
      </c>
      <c r="R72" s="17" t="str">
        <f ca="1">'Raw Data'!R73</f>
        <v>General Customer</v>
      </c>
      <c r="S72" s="34" t="str">
        <f>IF(B72&lt;25,"18-24",IF(B72&lt;35,"25-34",IF(B72&lt;45,"35-44",IF(B72&lt;55,"45-54","55+"))))</f>
        <v>35-44</v>
      </c>
      <c r="T72" s="34" t="str">
        <f>IF(G72&lt;25000,"Low (&lt; ₹25K)",IF(G72&lt;50000,"Mid (₹25K-50K)","High (&gt; ₹50K)"))</f>
        <v>Mid (₹25K-50K)</v>
      </c>
      <c r="U72" s="34">
        <f ca="1">IFERROR(TODAY()-Q72,"")</f>
        <v>281</v>
      </c>
      <c r="V72" s="34" t="str">
        <f ca="1">IF(AND(U72&lt;60,I72&gt;=12,K72&gt;=80000),"Champions",IF(AND(U72&lt;90,I72&gt;=8,K72&gt;=40000),"Loyal",IF(AND(U72&gt;180,I72&lt;5),"At Risk / Churned",IF(AND(U72&lt;120,I72&gt;=6),"Potential Loyal","Needs Attention"))))</f>
        <v>Needs Attention</v>
      </c>
    </row>
    <row r="73" spans="1:22" ht="15" customHeight="1" x14ac:dyDescent="0.2">
      <c r="A73" s="19" t="str">
        <f>'Raw Data'!A74</f>
        <v>CUST0071</v>
      </c>
      <c r="B73" s="19">
        <f>'Raw Data'!B74</f>
        <v>36</v>
      </c>
      <c r="C73" s="19" t="str">
        <f>'Raw Data'!C74</f>
        <v>Other</v>
      </c>
      <c r="D73" s="19" t="str">
        <f>'Raw Data'!D74</f>
        <v>Bangalore</v>
      </c>
      <c r="E73" s="19" t="str">
        <f>'Raw Data'!E74</f>
        <v>South</v>
      </c>
      <c r="F73" s="19" t="str">
        <f>'Raw Data'!F74</f>
        <v>Mid</v>
      </c>
      <c r="G73" s="20">
        <f>'Raw Data'!G74</f>
        <v>36099</v>
      </c>
      <c r="H73" s="19" t="str">
        <f>'Raw Data'!H74</f>
        <v>Business Owner</v>
      </c>
      <c r="I73" s="19">
        <f>'Raw Data'!I74</f>
        <v>15</v>
      </c>
      <c r="J73" s="32">
        <f>'Raw Data'!J74</f>
        <v>7714.28</v>
      </c>
      <c r="K73" s="32">
        <f>'Raw Data'!K74</f>
        <v>115714.2</v>
      </c>
      <c r="L73" s="19" t="str">
        <f>'Raw Data'!L74</f>
        <v>Books</v>
      </c>
      <c r="M73" s="19" t="str">
        <f>'Raw Data'!M74</f>
        <v>Offline</v>
      </c>
      <c r="N73" s="19" t="str">
        <f>'Raw Data'!N74</f>
        <v>Returning</v>
      </c>
      <c r="O73" s="19" t="str">
        <f>'Raw Data'!O74</f>
        <v>Low</v>
      </c>
      <c r="P73" s="19" t="str">
        <f>'Raw Data'!P74</f>
        <v>High</v>
      </c>
      <c r="Q73" s="33">
        <f>'Raw Data'!Q74</f>
        <v>45984</v>
      </c>
      <c r="R73" s="19" t="str">
        <f ca="1">'Raw Data'!R74</f>
        <v>Loyal Customer</v>
      </c>
      <c r="S73" s="34" t="str">
        <f>IF(B73&lt;25,"18-24",IF(B73&lt;35,"25-34",IF(B73&lt;45,"35-44",IF(B73&lt;55,"45-54","55+"))))</f>
        <v>35-44</v>
      </c>
      <c r="T73" s="34" t="str">
        <f>IF(G73&lt;25000,"Low (&lt; ₹25K)",IF(G73&lt;50000,"Mid (₹25K-50K)","High (&gt; ₹50K)"))</f>
        <v>Mid (₹25K-50K)</v>
      </c>
      <c r="U73" s="34">
        <f ca="1">IFERROR(TODAY()-Q73,"")</f>
        <v>141</v>
      </c>
      <c r="V73" s="34" t="str">
        <f ca="1">IF(AND(U73&lt;60,I73&gt;=12,K73&gt;=80000),"Champions",IF(AND(U73&lt;90,I73&gt;=8,K73&gt;=40000),"Loyal",IF(AND(U73&gt;180,I73&lt;5),"At Risk / Churned",IF(AND(U73&lt;120,I73&gt;=6),"Potential Loyal","Needs Attention"))))</f>
        <v>Needs Attention</v>
      </c>
    </row>
    <row r="74" spans="1:22" ht="15" customHeight="1" x14ac:dyDescent="0.2">
      <c r="A74" s="17" t="str">
        <f>'Raw Data'!A75</f>
        <v>CUST0072</v>
      </c>
      <c r="B74" s="17">
        <f>'Raw Data'!B75</f>
        <v>25</v>
      </c>
      <c r="C74" s="17" t="str">
        <f>'Raw Data'!C75</f>
        <v>Male</v>
      </c>
      <c r="D74" s="17" t="str">
        <f>'Raw Data'!D75</f>
        <v>Delhi</v>
      </c>
      <c r="E74" s="17" t="str">
        <f>'Raw Data'!E75</f>
        <v>North</v>
      </c>
      <c r="F74" s="17" t="str">
        <f>'Raw Data'!F75</f>
        <v>Mid</v>
      </c>
      <c r="G74" s="18">
        <f>'Raw Data'!G75</f>
        <v>37077</v>
      </c>
      <c r="H74" s="17" t="str">
        <f>'Raw Data'!H75</f>
        <v>Student</v>
      </c>
      <c r="I74" s="17">
        <f>'Raw Data'!I75</f>
        <v>19</v>
      </c>
      <c r="J74" s="35">
        <f>'Raw Data'!J75</f>
        <v>3233.9</v>
      </c>
      <c r="K74" s="35">
        <f>'Raw Data'!K75</f>
        <v>61444.1</v>
      </c>
      <c r="L74" s="17" t="str">
        <f>'Raw Data'!L75</f>
        <v>Electronics</v>
      </c>
      <c r="M74" s="17" t="str">
        <f>'Raw Data'!M75</f>
        <v>Offline</v>
      </c>
      <c r="N74" s="17" t="str">
        <f>'Raw Data'!N75</f>
        <v>New</v>
      </c>
      <c r="O74" s="17" t="str">
        <f>'Raw Data'!O75</f>
        <v>Medium</v>
      </c>
      <c r="P74" s="17" t="str">
        <f>'Raw Data'!P75</f>
        <v>Medium</v>
      </c>
      <c r="Q74" s="36">
        <f>'Raw Data'!Q75</f>
        <v>45983</v>
      </c>
      <c r="R74" s="17" t="str">
        <f ca="1">'Raw Data'!R75</f>
        <v>Loyal Customer</v>
      </c>
      <c r="S74" s="34" t="str">
        <f>IF(B74&lt;25,"18-24",IF(B74&lt;35,"25-34",IF(B74&lt;45,"35-44",IF(B74&lt;55,"45-54","55+"))))</f>
        <v>25-34</v>
      </c>
      <c r="T74" s="34" t="str">
        <f>IF(G74&lt;25000,"Low (&lt; ₹25K)",IF(G74&lt;50000,"Mid (₹25K-50K)","High (&gt; ₹50K)"))</f>
        <v>Mid (₹25K-50K)</v>
      </c>
      <c r="U74" s="34">
        <f ca="1">IFERROR(TODAY()-Q74,"")</f>
        <v>142</v>
      </c>
      <c r="V74" s="34" t="str">
        <f ca="1">IF(AND(U74&lt;60,I74&gt;=12,K74&gt;=80000),"Champions",IF(AND(U74&lt;90,I74&gt;=8,K74&gt;=40000),"Loyal",IF(AND(U74&gt;180,I74&lt;5),"At Risk / Churned",IF(AND(U74&lt;120,I74&gt;=6),"Potential Loyal","Needs Attention"))))</f>
        <v>Needs Attention</v>
      </c>
    </row>
    <row r="75" spans="1:22" ht="15" customHeight="1" x14ac:dyDescent="0.2">
      <c r="A75" s="19" t="str">
        <f>'Raw Data'!A76</f>
        <v>CUST0073</v>
      </c>
      <c r="B75" s="19">
        <f>'Raw Data'!B76</f>
        <v>47</v>
      </c>
      <c r="C75" s="19" t="str">
        <f>'Raw Data'!C76</f>
        <v>Female</v>
      </c>
      <c r="D75" s="19" t="str">
        <f>'Raw Data'!D76</f>
        <v>Lucknow</v>
      </c>
      <c r="E75" s="19" t="str">
        <f>'Raw Data'!E76</f>
        <v>North</v>
      </c>
      <c r="F75" s="19" t="str">
        <f>'Raw Data'!F76</f>
        <v>Low</v>
      </c>
      <c r="G75" s="20">
        <f>'Raw Data'!G76</f>
        <v>24899</v>
      </c>
      <c r="H75" s="19" t="str">
        <f>'Raw Data'!H76</f>
        <v>Student</v>
      </c>
      <c r="I75" s="19">
        <f>'Raw Data'!I76</f>
        <v>21</v>
      </c>
      <c r="J75" s="32">
        <f>'Raw Data'!J76</f>
        <v>3443.88</v>
      </c>
      <c r="K75" s="32">
        <f>'Raw Data'!K76</f>
        <v>72321.48</v>
      </c>
      <c r="L75" s="19" t="str">
        <f>'Raw Data'!L76</f>
        <v>Fashion</v>
      </c>
      <c r="M75" s="19" t="str">
        <f>'Raw Data'!M76</f>
        <v>Online</v>
      </c>
      <c r="N75" s="19" t="str">
        <f>'Raw Data'!N76</f>
        <v>Returning</v>
      </c>
      <c r="O75" s="19" t="str">
        <f>'Raw Data'!O76</f>
        <v>Low</v>
      </c>
      <c r="P75" s="19" t="str">
        <f>'Raw Data'!P76</f>
        <v>High</v>
      </c>
      <c r="Q75" s="33">
        <f>'Raw Data'!Q76</f>
        <v>45603</v>
      </c>
      <c r="R75" s="19" t="str">
        <f ca="1">'Raw Data'!R76</f>
        <v>Loyal Customer</v>
      </c>
      <c r="S75" s="34" t="str">
        <f>IF(B75&lt;25,"18-24",IF(B75&lt;35,"25-34",IF(B75&lt;45,"35-44",IF(B75&lt;55,"45-54","55+"))))</f>
        <v>45-54</v>
      </c>
      <c r="T75" s="34" t="str">
        <f>IF(G75&lt;25000,"Low (&lt; ₹25K)",IF(G75&lt;50000,"Mid (₹25K-50K)","High (&gt; ₹50K)"))</f>
        <v>Low (&lt; ₹25K)</v>
      </c>
      <c r="U75" s="34">
        <f ca="1">IFERROR(TODAY()-Q75,"")</f>
        <v>522</v>
      </c>
      <c r="V75" s="34" t="str">
        <f ca="1">IF(AND(U75&lt;60,I75&gt;=12,K75&gt;=80000),"Champions",IF(AND(U75&lt;90,I75&gt;=8,K75&gt;=40000),"Loyal",IF(AND(U75&gt;180,I75&lt;5),"At Risk / Churned",IF(AND(U75&lt;120,I75&gt;=6),"Potential Loyal","Needs Attention"))))</f>
        <v>Needs Attention</v>
      </c>
    </row>
    <row r="76" spans="1:22" ht="15" customHeight="1" x14ac:dyDescent="0.2">
      <c r="A76" s="17" t="str">
        <f>'Raw Data'!A77</f>
        <v>CUST0074</v>
      </c>
      <c r="B76" s="17">
        <f>'Raw Data'!B77</f>
        <v>41</v>
      </c>
      <c r="C76" s="17" t="str">
        <f>'Raw Data'!C77</f>
        <v>Male</v>
      </c>
      <c r="D76" s="17" t="str">
        <f>'Raw Data'!D77</f>
        <v>Hyderabad</v>
      </c>
      <c r="E76" s="17" t="str">
        <f>'Raw Data'!E77</f>
        <v>South</v>
      </c>
      <c r="F76" s="17" t="str">
        <f>'Raw Data'!F77</f>
        <v>High</v>
      </c>
      <c r="G76" s="18">
        <f>'Raw Data'!G77</f>
        <v>104935</v>
      </c>
      <c r="H76" s="17" t="str">
        <f>'Raw Data'!H77</f>
        <v>Salaried</v>
      </c>
      <c r="I76" s="17">
        <f>'Raw Data'!I77</f>
        <v>19</v>
      </c>
      <c r="J76" s="35">
        <f>'Raw Data'!J77</f>
        <v>6015.47</v>
      </c>
      <c r="K76" s="35">
        <f>'Raw Data'!K77</f>
        <v>114293.93</v>
      </c>
      <c r="L76" s="17" t="str">
        <f>'Raw Data'!L77</f>
        <v>Books</v>
      </c>
      <c r="M76" s="17" t="str">
        <f>'Raw Data'!M77</f>
        <v>Offline</v>
      </c>
      <c r="N76" s="17" t="str">
        <f>'Raw Data'!N77</f>
        <v>Returning</v>
      </c>
      <c r="O76" s="17" t="str">
        <f>'Raw Data'!O77</f>
        <v>Low</v>
      </c>
      <c r="P76" s="17" t="str">
        <f>'Raw Data'!P77</f>
        <v>Medium</v>
      </c>
      <c r="Q76" s="36">
        <f>'Raw Data'!Q77</f>
        <v>45393</v>
      </c>
      <c r="R76" s="17" t="str">
        <f ca="1">'Raw Data'!R77</f>
        <v>Loyal Customer</v>
      </c>
      <c r="S76" s="34" t="str">
        <f>IF(B76&lt;25,"18-24",IF(B76&lt;35,"25-34",IF(B76&lt;45,"35-44",IF(B76&lt;55,"45-54","55+"))))</f>
        <v>35-44</v>
      </c>
      <c r="T76" s="34" t="str">
        <f>IF(G76&lt;25000,"Low (&lt; ₹25K)",IF(G76&lt;50000,"Mid (₹25K-50K)","High (&gt; ₹50K)"))</f>
        <v>High (&gt; ₹50K)</v>
      </c>
      <c r="U76" s="34">
        <f ca="1">IFERROR(TODAY()-Q76,"")</f>
        <v>732</v>
      </c>
      <c r="V76" s="34" t="str">
        <f ca="1">IF(AND(U76&lt;60,I76&gt;=12,K76&gt;=80000),"Champions",IF(AND(U76&lt;90,I76&gt;=8,K76&gt;=40000),"Loyal",IF(AND(U76&gt;180,I76&lt;5),"At Risk / Churned",IF(AND(U76&lt;120,I76&gt;=6),"Potential Loyal","Needs Attention"))))</f>
        <v>Needs Attention</v>
      </c>
    </row>
    <row r="77" spans="1:22" ht="15" customHeight="1" x14ac:dyDescent="0.2">
      <c r="A77" s="19" t="str">
        <f>'Raw Data'!A78</f>
        <v>CUST0075</v>
      </c>
      <c r="B77" s="19">
        <f>'Raw Data'!B78</f>
        <v>46</v>
      </c>
      <c r="C77" s="19" t="str">
        <f>'Raw Data'!C78</f>
        <v>Male</v>
      </c>
      <c r="D77" s="19" t="str">
        <f>'Raw Data'!D78</f>
        <v>Mumbai</v>
      </c>
      <c r="E77" s="19" t="str">
        <f>'Raw Data'!E78</f>
        <v>West</v>
      </c>
      <c r="F77" s="19" t="str">
        <f>'Raw Data'!F78</f>
        <v>High</v>
      </c>
      <c r="G77" s="20">
        <f>'Raw Data'!G78</f>
        <v>63022</v>
      </c>
      <c r="H77" s="19" t="str">
        <f>'Raw Data'!H78</f>
        <v>Self-Employed</v>
      </c>
      <c r="I77" s="19">
        <f>'Raw Data'!I78</f>
        <v>22</v>
      </c>
      <c r="J77" s="32">
        <f>'Raw Data'!J78</f>
        <v>3128.48</v>
      </c>
      <c r="K77" s="32">
        <f>'Raw Data'!K78</f>
        <v>68826.559999999998</v>
      </c>
      <c r="L77" s="19" t="str">
        <f>'Raw Data'!L78</f>
        <v>Home &amp; Decor</v>
      </c>
      <c r="M77" s="19" t="str">
        <f>'Raw Data'!M78</f>
        <v>Online</v>
      </c>
      <c r="N77" s="19" t="str">
        <f>'Raw Data'!N78</f>
        <v>Returning</v>
      </c>
      <c r="O77" s="19" t="str">
        <f>'Raw Data'!O78</f>
        <v>High</v>
      </c>
      <c r="P77" s="19" t="str">
        <f>'Raw Data'!P78</f>
        <v>Medium</v>
      </c>
      <c r="Q77" s="33">
        <f>'Raw Data'!Q78</f>
        <v>45354</v>
      </c>
      <c r="R77" s="19" t="str">
        <f ca="1">'Raw Data'!R78</f>
        <v>Loyal Customer</v>
      </c>
      <c r="S77" s="34" t="str">
        <f>IF(B77&lt;25,"18-24",IF(B77&lt;35,"25-34",IF(B77&lt;45,"35-44",IF(B77&lt;55,"45-54","55+"))))</f>
        <v>45-54</v>
      </c>
      <c r="T77" s="34" t="str">
        <f>IF(G77&lt;25000,"Low (&lt; ₹25K)",IF(G77&lt;50000,"Mid (₹25K-50K)","High (&gt; ₹50K)"))</f>
        <v>High (&gt; ₹50K)</v>
      </c>
      <c r="U77" s="34">
        <f ca="1">IFERROR(TODAY()-Q77,"")</f>
        <v>771</v>
      </c>
      <c r="V77" s="34" t="str">
        <f ca="1">IF(AND(U77&lt;60,I77&gt;=12,K77&gt;=80000),"Champions",IF(AND(U77&lt;90,I77&gt;=8,K77&gt;=40000),"Loyal",IF(AND(U77&gt;180,I77&lt;5),"At Risk / Churned",IF(AND(U77&lt;120,I77&gt;=6),"Potential Loyal","Needs Attention"))))</f>
        <v>Needs Attention</v>
      </c>
    </row>
    <row r="78" spans="1:22" ht="15" customHeight="1" x14ac:dyDescent="0.2">
      <c r="A78" s="17" t="str">
        <f>'Raw Data'!A79</f>
        <v>CUST0076</v>
      </c>
      <c r="B78" s="17">
        <f>'Raw Data'!B79</f>
        <v>56</v>
      </c>
      <c r="C78" s="17" t="str">
        <f>'Raw Data'!C79</f>
        <v>Female</v>
      </c>
      <c r="D78" s="17" t="str">
        <f>'Raw Data'!D79</f>
        <v>Ahmedabad</v>
      </c>
      <c r="E78" s="17" t="str">
        <f>'Raw Data'!E79</f>
        <v>West</v>
      </c>
      <c r="F78" s="17" t="str">
        <f>'Raw Data'!F79</f>
        <v>Low</v>
      </c>
      <c r="G78" s="18">
        <f>'Raw Data'!G79</f>
        <v>10349</v>
      </c>
      <c r="H78" s="17" t="str">
        <f>'Raw Data'!H79</f>
        <v>Salaried</v>
      </c>
      <c r="I78" s="17">
        <f>'Raw Data'!I79</f>
        <v>8</v>
      </c>
      <c r="J78" s="35">
        <f>'Raw Data'!J79</f>
        <v>7913.92</v>
      </c>
      <c r="K78" s="35">
        <f>'Raw Data'!K79</f>
        <v>63311.360000000001</v>
      </c>
      <c r="L78" s="17" t="str">
        <f>'Raw Data'!L79</f>
        <v>Home &amp; Decor</v>
      </c>
      <c r="M78" s="17" t="str">
        <f>'Raw Data'!M79</f>
        <v>Online</v>
      </c>
      <c r="N78" s="17" t="str">
        <f>'Raw Data'!N79</f>
        <v>New</v>
      </c>
      <c r="O78" s="17" t="str">
        <f>'Raw Data'!O79</f>
        <v>High</v>
      </c>
      <c r="P78" s="17" t="str">
        <f>'Raw Data'!P79</f>
        <v>Low</v>
      </c>
      <c r="Q78" s="36">
        <f>'Raw Data'!Q79</f>
        <v>45859</v>
      </c>
      <c r="R78" s="17" t="str">
        <f ca="1">'Raw Data'!R79</f>
        <v>General Customer</v>
      </c>
      <c r="S78" s="34" t="str">
        <f>IF(B78&lt;25,"18-24",IF(B78&lt;35,"25-34",IF(B78&lt;45,"35-44",IF(B78&lt;55,"45-54","55+"))))</f>
        <v>55+</v>
      </c>
      <c r="T78" s="34" t="str">
        <f>IF(G78&lt;25000,"Low (&lt; ₹25K)",IF(G78&lt;50000,"Mid (₹25K-50K)","High (&gt; ₹50K)"))</f>
        <v>Low (&lt; ₹25K)</v>
      </c>
      <c r="U78" s="34">
        <f ca="1">IFERROR(TODAY()-Q78,"")</f>
        <v>266</v>
      </c>
      <c r="V78" s="34" t="str">
        <f ca="1">IF(AND(U78&lt;60,I78&gt;=12,K78&gt;=80000),"Champions",IF(AND(U78&lt;90,I78&gt;=8,K78&gt;=40000),"Loyal",IF(AND(U78&gt;180,I78&lt;5),"At Risk / Churned",IF(AND(U78&lt;120,I78&gt;=6),"Potential Loyal","Needs Attention"))))</f>
        <v>Needs Attention</v>
      </c>
    </row>
    <row r="79" spans="1:22" ht="15" customHeight="1" x14ac:dyDescent="0.2">
      <c r="A79" s="19" t="str">
        <f>'Raw Data'!A80</f>
        <v>CUST0077</v>
      </c>
      <c r="B79" s="19">
        <f>'Raw Data'!B80</f>
        <v>27</v>
      </c>
      <c r="C79" s="19" t="str">
        <f>'Raw Data'!C80</f>
        <v>Male</v>
      </c>
      <c r="D79" s="19" t="str">
        <f>'Raw Data'!D80</f>
        <v>Pune</v>
      </c>
      <c r="E79" s="19" t="str">
        <f>'Raw Data'!E80</f>
        <v>West</v>
      </c>
      <c r="F79" s="19" t="str">
        <f>'Raw Data'!F80</f>
        <v>Low</v>
      </c>
      <c r="G79" s="20">
        <f>'Raw Data'!G80</f>
        <v>12129</v>
      </c>
      <c r="H79" s="19" t="str">
        <f>'Raw Data'!H80</f>
        <v>Freelancer</v>
      </c>
      <c r="I79" s="19">
        <f>'Raw Data'!I80</f>
        <v>6</v>
      </c>
      <c r="J79" s="32">
        <f>'Raw Data'!J80</f>
        <v>1146.43</v>
      </c>
      <c r="K79" s="32">
        <f>'Raw Data'!K80</f>
        <v>6878.58</v>
      </c>
      <c r="L79" s="19" t="str">
        <f>'Raw Data'!L80</f>
        <v>Home &amp; Decor</v>
      </c>
      <c r="M79" s="19" t="str">
        <f>'Raw Data'!M80</f>
        <v>Offline</v>
      </c>
      <c r="N79" s="19" t="str">
        <f>'Raw Data'!N80</f>
        <v>Returning</v>
      </c>
      <c r="O79" s="19" t="str">
        <f>'Raw Data'!O80</f>
        <v>High</v>
      </c>
      <c r="P79" s="19" t="str">
        <f>'Raw Data'!P80</f>
        <v>Low</v>
      </c>
      <c r="Q79" s="33">
        <f>'Raw Data'!Q80</f>
        <v>45658</v>
      </c>
      <c r="R79" s="19" t="str">
        <f ca="1">'Raw Data'!R80</f>
        <v>General Customer</v>
      </c>
      <c r="S79" s="34" t="str">
        <f>IF(B79&lt;25,"18-24",IF(B79&lt;35,"25-34",IF(B79&lt;45,"35-44",IF(B79&lt;55,"45-54","55+"))))</f>
        <v>25-34</v>
      </c>
      <c r="T79" s="34" t="str">
        <f>IF(G79&lt;25000,"Low (&lt; ₹25K)",IF(G79&lt;50000,"Mid (₹25K-50K)","High (&gt; ₹50K)"))</f>
        <v>Low (&lt; ₹25K)</v>
      </c>
      <c r="U79" s="34">
        <f ca="1">IFERROR(TODAY()-Q79,"")</f>
        <v>467</v>
      </c>
      <c r="V79" s="34" t="str">
        <f ca="1">IF(AND(U79&lt;60,I79&gt;=12,K79&gt;=80000),"Champions",IF(AND(U79&lt;90,I79&gt;=8,K79&gt;=40000),"Loyal",IF(AND(U79&gt;180,I79&lt;5),"At Risk / Churned",IF(AND(U79&lt;120,I79&gt;=6),"Potential Loyal","Needs Attention"))))</f>
        <v>Needs Attention</v>
      </c>
    </row>
    <row r="80" spans="1:22" ht="15" customHeight="1" x14ac:dyDescent="0.2">
      <c r="A80" s="17" t="str">
        <f>'Raw Data'!A81</f>
        <v>CUST0078</v>
      </c>
      <c r="B80" s="17">
        <f>'Raw Data'!B81</f>
        <v>65</v>
      </c>
      <c r="C80" s="17" t="str">
        <f>'Raw Data'!C81</f>
        <v>Male</v>
      </c>
      <c r="D80" s="17" t="str">
        <f>'Raw Data'!D81</f>
        <v>Mumbai</v>
      </c>
      <c r="E80" s="17" t="str">
        <f>'Raw Data'!E81</f>
        <v>West</v>
      </c>
      <c r="F80" s="17" t="str">
        <f>'Raw Data'!F81</f>
        <v>Low</v>
      </c>
      <c r="G80" s="18">
        <f>'Raw Data'!G81</f>
        <v>16897</v>
      </c>
      <c r="H80" s="17" t="str">
        <f>'Raw Data'!H81</f>
        <v>Self-Employed</v>
      </c>
      <c r="I80" s="17">
        <f>'Raw Data'!I81</f>
        <v>24</v>
      </c>
      <c r="J80" s="35">
        <f>'Raw Data'!J81</f>
        <v>789.4</v>
      </c>
      <c r="K80" s="35">
        <f>'Raw Data'!K81</f>
        <v>18945.599999999999</v>
      </c>
      <c r="L80" s="17" t="str">
        <f>'Raw Data'!L81</f>
        <v>Home &amp; Decor</v>
      </c>
      <c r="M80" s="17" t="str">
        <f>'Raw Data'!M81</f>
        <v>Online</v>
      </c>
      <c r="N80" s="17" t="str">
        <f>'Raw Data'!N81</f>
        <v>New</v>
      </c>
      <c r="O80" s="17" t="str">
        <f>'Raw Data'!O81</f>
        <v>Medium</v>
      </c>
      <c r="P80" s="17" t="str">
        <f>'Raw Data'!P81</f>
        <v>Medium</v>
      </c>
      <c r="Q80" s="36">
        <f>'Raw Data'!Q81</f>
        <v>45899</v>
      </c>
      <c r="R80" s="17" t="str">
        <f ca="1">'Raw Data'!R81</f>
        <v>General Customer</v>
      </c>
      <c r="S80" s="34" t="str">
        <f>IF(B80&lt;25,"18-24",IF(B80&lt;35,"25-34",IF(B80&lt;45,"35-44",IF(B80&lt;55,"45-54","55+"))))</f>
        <v>55+</v>
      </c>
      <c r="T80" s="34" t="str">
        <f>IF(G80&lt;25000,"Low (&lt; ₹25K)",IF(G80&lt;50000,"Mid (₹25K-50K)","High (&gt; ₹50K)"))</f>
        <v>Low (&lt; ₹25K)</v>
      </c>
      <c r="U80" s="34">
        <f ca="1">IFERROR(TODAY()-Q80,"")</f>
        <v>226</v>
      </c>
      <c r="V80" s="34" t="str">
        <f ca="1">IF(AND(U80&lt;60,I80&gt;=12,K80&gt;=80000),"Champions",IF(AND(U80&lt;90,I80&gt;=8,K80&gt;=40000),"Loyal",IF(AND(U80&gt;180,I80&lt;5),"At Risk / Churned",IF(AND(U80&lt;120,I80&gt;=6),"Potential Loyal","Needs Attention"))))</f>
        <v>Needs Attention</v>
      </c>
    </row>
    <row r="81" spans="1:22" ht="15" customHeight="1" x14ac:dyDescent="0.2">
      <c r="A81" s="19" t="str">
        <f>'Raw Data'!A82</f>
        <v>CUST0079</v>
      </c>
      <c r="B81" s="19">
        <f>'Raw Data'!B82</f>
        <v>19</v>
      </c>
      <c r="C81" s="19" t="str">
        <f>'Raw Data'!C82</f>
        <v>Female</v>
      </c>
      <c r="D81" s="19" t="str">
        <f>'Raw Data'!D82</f>
        <v>Jaipur</v>
      </c>
      <c r="E81" s="19" t="str">
        <f>'Raw Data'!E82</f>
        <v>North</v>
      </c>
      <c r="F81" s="19" t="str">
        <f>'Raw Data'!F82</f>
        <v>Mid</v>
      </c>
      <c r="G81" s="20">
        <f>'Raw Data'!G82</f>
        <v>40695</v>
      </c>
      <c r="H81" s="19" t="str">
        <f>'Raw Data'!H82</f>
        <v>Business Owner</v>
      </c>
      <c r="I81" s="19">
        <f>'Raw Data'!I82</f>
        <v>14</v>
      </c>
      <c r="J81" s="32">
        <f>'Raw Data'!J82</f>
        <v>5582.95</v>
      </c>
      <c r="K81" s="32">
        <f>'Raw Data'!K82</f>
        <v>78161.3</v>
      </c>
      <c r="L81" s="19" t="str">
        <f>'Raw Data'!L82</f>
        <v>Beauty</v>
      </c>
      <c r="M81" s="19" t="str">
        <f>'Raw Data'!M82</f>
        <v>Online</v>
      </c>
      <c r="N81" s="19" t="str">
        <f>'Raw Data'!N82</f>
        <v>Returning</v>
      </c>
      <c r="O81" s="19" t="str">
        <f>'Raw Data'!O82</f>
        <v>Medium</v>
      </c>
      <c r="P81" s="19" t="str">
        <f>'Raw Data'!P82</f>
        <v>High</v>
      </c>
      <c r="Q81" s="33">
        <f>'Raw Data'!Q82</f>
        <v>45367</v>
      </c>
      <c r="R81" s="19" t="str">
        <f ca="1">'Raw Data'!R82</f>
        <v>Loyal Customer</v>
      </c>
      <c r="S81" s="34" t="str">
        <f>IF(B81&lt;25,"18-24",IF(B81&lt;35,"25-34",IF(B81&lt;45,"35-44",IF(B81&lt;55,"45-54","55+"))))</f>
        <v>18-24</v>
      </c>
      <c r="T81" s="34" t="str">
        <f>IF(G81&lt;25000,"Low (&lt; ₹25K)",IF(G81&lt;50000,"Mid (₹25K-50K)","High (&gt; ₹50K)"))</f>
        <v>Mid (₹25K-50K)</v>
      </c>
      <c r="U81" s="34">
        <f ca="1">IFERROR(TODAY()-Q81,"")</f>
        <v>758</v>
      </c>
      <c r="V81" s="34" t="str">
        <f ca="1">IF(AND(U81&lt;60,I81&gt;=12,K81&gt;=80000),"Champions",IF(AND(U81&lt;90,I81&gt;=8,K81&gt;=40000),"Loyal",IF(AND(U81&gt;180,I81&lt;5),"At Risk / Churned",IF(AND(U81&lt;120,I81&gt;=6),"Potential Loyal","Needs Attention"))))</f>
        <v>Needs Attention</v>
      </c>
    </row>
    <row r="82" spans="1:22" ht="15" customHeight="1" x14ac:dyDescent="0.2">
      <c r="A82" s="17" t="str">
        <f>'Raw Data'!A83</f>
        <v>CUST0080</v>
      </c>
      <c r="B82" s="17">
        <f>'Raw Data'!B83</f>
        <v>55</v>
      </c>
      <c r="C82" s="17" t="str">
        <f>'Raw Data'!C83</f>
        <v>Female</v>
      </c>
      <c r="D82" s="17" t="str">
        <f>'Raw Data'!D83</f>
        <v>Delhi</v>
      </c>
      <c r="E82" s="17" t="str">
        <f>'Raw Data'!E83</f>
        <v>North</v>
      </c>
      <c r="F82" s="17" t="str">
        <f>'Raw Data'!F83</f>
        <v>Low</v>
      </c>
      <c r="G82" s="18">
        <f>'Raw Data'!G83</f>
        <v>18984</v>
      </c>
      <c r="H82" s="17" t="str">
        <f>'Raw Data'!H83</f>
        <v>Self-Employed</v>
      </c>
      <c r="I82" s="17">
        <f>'Raw Data'!I83</f>
        <v>13</v>
      </c>
      <c r="J82" s="35">
        <f>'Raw Data'!J83</f>
        <v>7958.63</v>
      </c>
      <c r="K82" s="35">
        <f>'Raw Data'!K83</f>
        <v>103462.19</v>
      </c>
      <c r="L82" s="17" t="str">
        <f>'Raw Data'!L83</f>
        <v>Fashion</v>
      </c>
      <c r="M82" s="17" t="str">
        <f>'Raw Data'!M83</f>
        <v>Online</v>
      </c>
      <c r="N82" s="17" t="str">
        <f>'Raw Data'!N83</f>
        <v>Returning</v>
      </c>
      <c r="O82" s="17" t="str">
        <f>'Raw Data'!O83</f>
        <v>Medium</v>
      </c>
      <c r="P82" s="17" t="str">
        <f>'Raw Data'!P83</f>
        <v>Medium</v>
      </c>
      <c r="Q82" s="36">
        <f>'Raw Data'!Q83</f>
        <v>45911</v>
      </c>
      <c r="R82" s="17" t="str">
        <f ca="1">'Raw Data'!R83</f>
        <v>Loyal Customer</v>
      </c>
      <c r="S82" s="34" t="str">
        <f>IF(B82&lt;25,"18-24",IF(B82&lt;35,"25-34",IF(B82&lt;45,"35-44",IF(B82&lt;55,"45-54","55+"))))</f>
        <v>55+</v>
      </c>
      <c r="T82" s="34" t="str">
        <f>IF(G82&lt;25000,"Low (&lt; ₹25K)",IF(G82&lt;50000,"Mid (₹25K-50K)","High (&gt; ₹50K)"))</f>
        <v>Low (&lt; ₹25K)</v>
      </c>
      <c r="U82" s="34">
        <f ca="1">IFERROR(TODAY()-Q82,"")</f>
        <v>214</v>
      </c>
      <c r="V82" s="34" t="str">
        <f ca="1">IF(AND(U82&lt;60,I82&gt;=12,K82&gt;=80000),"Champions",IF(AND(U82&lt;90,I82&gt;=8,K82&gt;=40000),"Loyal",IF(AND(U82&gt;180,I82&lt;5),"At Risk / Churned",IF(AND(U82&lt;120,I82&gt;=6),"Potential Loyal","Needs Attention"))))</f>
        <v>Needs Attention</v>
      </c>
    </row>
    <row r="83" spans="1:22" ht="15" customHeight="1" x14ac:dyDescent="0.2">
      <c r="A83" s="19" t="str">
        <f>'Raw Data'!A84</f>
        <v>CUST0081</v>
      </c>
      <c r="B83" s="19">
        <f>'Raw Data'!B84</f>
        <v>47</v>
      </c>
      <c r="C83" s="19" t="str">
        <f>'Raw Data'!C84</f>
        <v>Male</v>
      </c>
      <c r="D83" s="19" t="str">
        <f>'Raw Data'!D84</f>
        <v>Kolkata</v>
      </c>
      <c r="E83" s="19" t="str">
        <f>'Raw Data'!E84</f>
        <v>East</v>
      </c>
      <c r="F83" s="19" t="str">
        <f>'Raw Data'!F84</f>
        <v>Mid</v>
      </c>
      <c r="G83" s="20">
        <f>'Raw Data'!G84</f>
        <v>38631</v>
      </c>
      <c r="H83" s="19" t="str">
        <f>'Raw Data'!H84</f>
        <v>Salaried</v>
      </c>
      <c r="I83" s="19">
        <f>'Raw Data'!I84</f>
        <v>11</v>
      </c>
      <c r="J83" s="32">
        <f>'Raw Data'!J84</f>
        <v>3586.08</v>
      </c>
      <c r="K83" s="32">
        <f>'Raw Data'!K84</f>
        <v>39446.879999999997</v>
      </c>
      <c r="L83" s="19" t="str">
        <f>'Raw Data'!L84</f>
        <v>Travel</v>
      </c>
      <c r="M83" s="19" t="str">
        <f>'Raw Data'!M84</f>
        <v>Online</v>
      </c>
      <c r="N83" s="19" t="str">
        <f>'Raw Data'!N84</f>
        <v>Returning</v>
      </c>
      <c r="O83" s="19" t="str">
        <f>'Raw Data'!O84</f>
        <v>Medium</v>
      </c>
      <c r="P83" s="19" t="str">
        <f>'Raw Data'!P84</f>
        <v>Medium</v>
      </c>
      <c r="Q83" s="33">
        <f>'Raw Data'!Q84</f>
        <v>45448</v>
      </c>
      <c r="R83" s="19" t="str">
        <f ca="1">'Raw Data'!R84</f>
        <v>General Customer</v>
      </c>
      <c r="S83" s="34" t="str">
        <f>IF(B83&lt;25,"18-24",IF(B83&lt;35,"25-34",IF(B83&lt;45,"35-44",IF(B83&lt;55,"45-54","55+"))))</f>
        <v>45-54</v>
      </c>
      <c r="T83" s="34" t="str">
        <f>IF(G83&lt;25000,"Low (&lt; ₹25K)",IF(G83&lt;50000,"Mid (₹25K-50K)","High (&gt; ₹50K)"))</f>
        <v>Mid (₹25K-50K)</v>
      </c>
      <c r="U83" s="34">
        <f ca="1">IFERROR(TODAY()-Q83,"")</f>
        <v>677</v>
      </c>
      <c r="V83" s="34" t="str">
        <f ca="1">IF(AND(U83&lt;60,I83&gt;=12,K83&gt;=80000),"Champions",IF(AND(U83&lt;90,I83&gt;=8,K83&gt;=40000),"Loyal",IF(AND(U83&gt;180,I83&lt;5),"At Risk / Churned",IF(AND(U83&lt;120,I83&gt;=6),"Potential Loyal","Needs Attention"))))</f>
        <v>Needs Attention</v>
      </c>
    </row>
    <row r="84" spans="1:22" ht="15" customHeight="1" x14ac:dyDescent="0.2">
      <c r="A84" s="17" t="str">
        <f>'Raw Data'!A85</f>
        <v>CUST0082</v>
      </c>
      <c r="B84" s="17">
        <f>'Raw Data'!B85</f>
        <v>65</v>
      </c>
      <c r="C84" s="17" t="str">
        <f>'Raw Data'!C85</f>
        <v>Male</v>
      </c>
      <c r="D84" s="17" t="str">
        <f>'Raw Data'!D85</f>
        <v>Delhi</v>
      </c>
      <c r="E84" s="17" t="str">
        <f>'Raw Data'!E85</f>
        <v>North</v>
      </c>
      <c r="F84" s="17" t="str">
        <f>'Raw Data'!F85</f>
        <v>Low</v>
      </c>
      <c r="G84" s="18">
        <f>'Raw Data'!G85</f>
        <v>22104</v>
      </c>
      <c r="H84" s="17" t="str">
        <f>'Raw Data'!H85</f>
        <v>Student</v>
      </c>
      <c r="I84" s="17">
        <f>'Raw Data'!I85</f>
        <v>18</v>
      </c>
      <c r="J84" s="35">
        <f>'Raw Data'!J85</f>
        <v>761.85</v>
      </c>
      <c r="K84" s="35">
        <f>'Raw Data'!K85</f>
        <v>13713.3</v>
      </c>
      <c r="L84" s="17" t="str">
        <f>'Raw Data'!L85</f>
        <v>Beauty</v>
      </c>
      <c r="M84" s="17" t="str">
        <f>'Raw Data'!M85</f>
        <v>Offline</v>
      </c>
      <c r="N84" s="17" t="str">
        <f>'Raw Data'!N85</f>
        <v>New</v>
      </c>
      <c r="O84" s="17" t="str">
        <f>'Raw Data'!O85</f>
        <v>High</v>
      </c>
      <c r="P84" s="17" t="str">
        <f>'Raw Data'!P85</f>
        <v>Medium</v>
      </c>
      <c r="Q84" s="36">
        <f>'Raw Data'!Q85</f>
        <v>45978</v>
      </c>
      <c r="R84" s="17" t="str">
        <f ca="1">'Raw Data'!R85</f>
        <v>General Customer</v>
      </c>
      <c r="S84" s="34" t="str">
        <f>IF(B84&lt;25,"18-24",IF(B84&lt;35,"25-34",IF(B84&lt;45,"35-44",IF(B84&lt;55,"45-54","55+"))))</f>
        <v>55+</v>
      </c>
      <c r="T84" s="34" t="str">
        <f>IF(G84&lt;25000,"Low (&lt; ₹25K)",IF(G84&lt;50000,"Mid (₹25K-50K)","High (&gt; ₹50K)"))</f>
        <v>Low (&lt; ₹25K)</v>
      </c>
      <c r="U84" s="34">
        <f ca="1">IFERROR(TODAY()-Q84,"")</f>
        <v>147</v>
      </c>
      <c r="V84" s="34" t="str">
        <f ca="1">IF(AND(U84&lt;60,I84&gt;=12,K84&gt;=80000),"Champions",IF(AND(U84&lt;90,I84&gt;=8,K84&gt;=40000),"Loyal",IF(AND(U84&gt;180,I84&lt;5),"At Risk / Churned",IF(AND(U84&lt;120,I84&gt;=6),"Potential Loyal","Needs Attention"))))</f>
        <v>Needs Attention</v>
      </c>
    </row>
    <row r="85" spans="1:22" ht="15" customHeight="1" x14ac:dyDescent="0.2">
      <c r="A85" s="19" t="str">
        <f>'Raw Data'!A86</f>
        <v>CUST0083</v>
      </c>
      <c r="B85" s="19">
        <f>'Raw Data'!B86</f>
        <v>24</v>
      </c>
      <c r="C85" s="19" t="str">
        <f>'Raw Data'!C86</f>
        <v>Male</v>
      </c>
      <c r="D85" s="19" t="str">
        <f>'Raw Data'!D86</f>
        <v>Mumbai</v>
      </c>
      <c r="E85" s="19" t="str">
        <f>'Raw Data'!E86</f>
        <v>West</v>
      </c>
      <c r="F85" s="19" t="str">
        <f>'Raw Data'!F86</f>
        <v>Mid</v>
      </c>
      <c r="G85" s="20">
        <f>'Raw Data'!G86</f>
        <v>41626</v>
      </c>
      <c r="H85" s="19" t="str">
        <f>'Raw Data'!H86</f>
        <v>Freelancer</v>
      </c>
      <c r="I85" s="19">
        <f>'Raw Data'!I86</f>
        <v>5</v>
      </c>
      <c r="J85" s="32">
        <f>'Raw Data'!J86</f>
        <v>5356.87</v>
      </c>
      <c r="K85" s="32">
        <f>'Raw Data'!K86</f>
        <v>26784.35</v>
      </c>
      <c r="L85" s="19" t="str">
        <f>'Raw Data'!L86</f>
        <v>Sports</v>
      </c>
      <c r="M85" s="19" t="str">
        <f>'Raw Data'!M86</f>
        <v>Online</v>
      </c>
      <c r="N85" s="19" t="str">
        <f>'Raw Data'!N86</f>
        <v>Returning</v>
      </c>
      <c r="O85" s="19" t="str">
        <f>'Raw Data'!O86</f>
        <v>Low</v>
      </c>
      <c r="P85" s="19" t="str">
        <f>'Raw Data'!P86</f>
        <v>Low</v>
      </c>
      <c r="Q85" s="33">
        <f>'Raw Data'!Q86</f>
        <v>45861</v>
      </c>
      <c r="R85" s="19" t="str">
        <f ca="1">'Raw Data'!R86</f>
        <v>General Customer</v>
      </c>
      <c r="S85" s="34" t="str">
        <f>IF(B85&lt;25,"18-24",IF(B85&lt;35,"25-34",IF(B85&lt;45,"35-44",IF(B85&lt;55,"45-54","55+"))))</f>
        <v>18-24</v>
      </c>
      <c r="T85" s="34" t="str">
        <f>IF(G85&lt;25000,"Low (&lt; ₹25K)",IF(G85&lt;50000,"Mid (₹25K-50K)","High (&gt; ₹50K)"))</f>
        <v>Mid (₹25K-50K)</v>
      </c>
      <c r="U85" s="34">
        <f ca="1">IFERROR(TODAY()-Q85,"")</f>
        <v>264</v>
      </c>
      <c r="V85" s="34" t="str">
        <f ca="1">IF(AND(U85&lt;60,I85&gt;=12,K85&gt;=80000),"Champions",IF(AND(U85&lt;90,I85&gt;=8,K85&gt;=40000),"Loyal",IF(AND(U85&gt;180,I85&lt;5),"At Risk / Churned",IF(AND(U85&lt;120,I85&gt;=6),"Potential Loyal","Needs Attention"))))</f>
        <v>Needs Attention</v>
      </c>
    </row>
    <row r="86" spans="1:22" ht="15" customHeight="1" x14ac:dyDescent="0.2">
      <c r="A86" s="17" t="str">
        <f>'Raw Data'!A87</f>
        <v>CUST0084</v>
      </c>
      <c r="B86" s="17">
        <f>'Raw Data'!B87</f>
        <v>59</v>
      </c>
      <c r="C86" s="17" t="str">
        <f>'Raw Data'!C87</f>
        <v>Female</v>
      </c>
      <c r="D86" s="17" t="str">
        <f>'Raw Data'!D87</f>
        <v>Kolkata</v>
      </c>
      <c r="E86" s="17" t="str">
        <f>'Raw Data'!E87</f>
        <v>East</v>
      </c>
      <c r="F86" s="17" t="str">
        <f>'Raw Data'!F87</f>
        <v>High</v>
      </c>
      <c r="G86" s="18">
        <f>'Raw Data'!G87</f>
        <v>85054</v>
      </c>
      <c r="H86" s="17" t="str">
        <f>'Raw Data'!H87</f>
        <v>Freelancer</v>
      </c>
      <c r="I86" s="17">
        <f>'Raw Data'!I87</f>
        <v>1</v>
      </c>
      <c r="J86" s="35">
        <f>'Raw Data'!J87</f>
        <v>1689.2</v>
      </c>
      <c r="K86" s="35">
        <f>'Raw Data'!K87</f>
        <v>1689.2</v>
      </c>
      <c r="L86" s="17" t="str">
        <f>'Raw Data'!L87</f>
        <v>Grocery</v>
      </c>
      <c r="M86" s="17" t="str">
        <f>'Raw Data'!M87</f>
        <v>Online</v>
      </c>
      <c r="N86" s="17" t="str">
        <f>'Raw Data'!N87</f>
        <v>Returning</v>
      </c>
      <c r="O86" s="17" t="str">
        <f>'Raw Data'!O87</f>
        <v>High</v>
      </c>
      <c r="P86" s="17" t="str">
        <f>'Raw Data'!P87</f>
        <v>Medium</v>
      </c>
      <c r="Q86" s="36">
        <f>'Raw Data'!Q87</f>
        <v>45639</v>
      </c>
      <c r="R86" s="17" t="str">
        <f ca="1">'Raw Data'!R87</f>
        <v>At Risk</v>
      </c>
      <c r="S86" s="34" t="str">
        <f>IF(B86&lt;25,"18-24",IF(B86&lt;35,"25-34",IF(B86&lt;45,"35-44",IF(B86&lt;55,"45-54","55+"))))</f>
        <v>55+</v>
      </c>
      <c r="T86" s="34" t="str">
        <f>IF(G86&lt;25000,"Low (&lt; ₹25K)",IF(G86&lt;50000,"Mid (₹25K-50K)","High (&gt; ₹50K)"))</f>
        <v>High (&gt; ₹50K)</v>
      </c>
      <c r="U86" s="34">
        <f ca="1">IFERROR(TODAY()-Q86,"")</f>
        <v>486</v>
      </c>
      <c r="V86" s="34" t="str">
        <f ca="1">IF(AND(U86&lt;60,I86&gt;=12,K86&gt;=80000),"Champions",IF(AND(U86&lt;90,I86&gt;=8,K86&gt;=40000),"Loyal",IF(AND(U86&gt;180,I86&lt;5),"At Risk / Churned",IF(AND(U86&lt;120,I86&gt;=6),"Potential Loyal","Needs Attention"))))</f>
        <v>At Risk / Churned</v>
      </c>
    </row>
    <row r="87" spans="1:22" ht="15" customHeight="1" x14ac:dyDescent="0.2">
      <c r="A87" s="19" t="str">
        <f>'Raw Data'!A88</f>
        <v>CUST0085</v>
      </c>
      <c r="B87" s="19">
        <f>'Raw Data'!B88</f>
        <v>65</v>
      </c>
      <c r="C87" s="19" t="str">
        <f>'Raw Data'!C88</f>
        <v>Male</v>
      </c>
      <c r="D87" s="19" t="str">
        <f>'Raw Data'!D88</f>
        <v>Lucknow</v>
      </c>
      <c r="E87" s="19" t="str">
        <f>'Raw Data'!E88</f>
        <v>North</v>
      </c>
      <c r="F87" s="19" t="str">
        <f>'Raw Data'!F88</f>
        <v>High</v>
      </c>
      <c r="G87" s="20">
        <f>'Raw Data'!G88</f>
        <v>62026</v>
      </c>
      <c r="H87" s="19" t="str">
        <f>'Raw Data'!H88</f>
        <v>Business Owner</v>
      </c>
      <c r="I87" s="19">
        <f>'Raw Data'!I88</f>
        <v>24</v>
      </c>
      <c r="J87" s="32">
        <f>'Raw Data'!J88</f>
        <v>4384.72</v>
      </c>
      <c r="K87" s="32">
        <f>'Raw Data'!K88</f>
        <v>105233.28</v>
      </c>
      <c r="L87" s="19" t="str">
        <f>'Raw Data'!L88</f>
        <v>Beauty</v>
      </c>
      <c r="M87" s="19" t="str">
        <f>'Raw Data'!M88</f>
        <v>Online</v>
      </c>
      <c r="N87" s="19" t="str">
        <f>'Raw Data'!N88</f>
        <v>Returning</v>
      </c>
      <c r="O87" s="19" t="str">
        <f>'Raw Data'!O88</f>
        <v>Medium</v>
      </c>
      <c r="P87" s="19" t="str">
        <f>'Raw Data'!P88</f>
        <v>Medium</v>
      </c>
      <c r="Q87" s="33">
        <f>'Raw Data'!Q88</f>
        <v>45453</v>
      </c>
      <c r="R87" s="19" t="str">
        <f ca="1">'Raw Data'!R88</f>
        <v>Loyal Customer</v>
      </c>
      <c r="S87" s="34" t="str">
        <f>IF(B87&lt;25,"18-24",IF(B87&lt;35,"25-34",IF(B87&lt;45,"35-44",IF(B87&lt;55,"45-54","55+"))))</f>
        <v>55+</v>
      </c>
      <c r="T87" s="34" t="str">
        <f>IF(G87&lt;25000,"Low (&lt; ₹25K)",IF(G87&lt;50000,"Mid (₹25K-50K)","High (&gt; ₹50K)"))</f>
        <v>High (&gt; ₹50K)</v>
      </c>
      <c r="U87" s="34">
        <f ca="1">IFERROR(TODAY()-Q87,"")</f>
        <v>672</v>
      </c>
      <c r="V87" s="34" t="str">
        <f ca="1">IF(AND(U87&lt;60,I87&gt;=12,K87&gt;=80000),"Champions",IF(AND(U87&lt;90,I87&gt;=8,K87&gt;=40000),"Loyal",IF(AND(U87&gt;180,I87&lt;5),"At Risk / Churned",IF(AND(U87&lt;120,I87&gt;=6),"Potential Loyal","Needs Attention"))))</f>
        <v>Needs Attention</v>
      </c>
    </row>
    <row r="88" spans="1:22" ht="15" customHeight="1" x14ac:dyDescent="0.2">
      <c r="A88" s="17" t="str">
        <f>'Raw Data'!A89</f>
        <v>CUST0086</v>
      </c>
      <c r="B88" s="17">
        <f>'Raw Data'!B89</f>
        <v>21</v>
      </c>
      <c r="C88" s="17" t="str">
        <f>'Raw Data'!C89</f>
        <v>Female</v>
      </c>
      <c r="D88" s="17" t="str">
        <f>'Raw Data'!D89</f>
        <v>Mumbai</v>
      </c>
      <c r="E88" s="17" t="str">
        <f>'Raw Data'!E89</f>
        <v>West</v>
      </c>
      <c r="F88" s="17" t="str">
        <f>'Raw Data'!F89</f>
        <v>Low</v>
      </c>
      <c r="G88" s="18">
        <f>'Raw Data'!G89</f>
        <v>21042</v>
      </c>
      <c r="H88" s="17" t="str">
        <f>'Raw Data'!H89</f>
        <v>Salaried</v>
      </c>
      <c r="I88" s="17">
        <f>'Raw Data'!I89</f>
        <v>15</v>
      </c>
      <c r="J88" s="35">
        <f>'Raw Data'!J89</f>
        <v>5396.93</v>
      </c>
      <c r="K88" s="35">
        <f>'Raw Data'!K89</f>
        <v>80953.95</v>
      </c>
      <c r="L88" s="17" t="str">
        <f>'Raw Data'!L89</f>
        <v>Fashion</v>
      </c>
      <c r="M88" s="17" t="str">
        <f>'Raw Data'!M89</f>
        <v>Offline</v>
      </c>
      <c r="N88" s="17" t="str">
        <f>'Raw Data'!N89</f>
        <v>New</v>
      </c>
      <c r="O88" s="17" t="str">
        <f>'Raw Data'!O89</f>
        <v>Medium</v>
      </c>
      <c r="P88" s="17" t="str">
        <f>'Raw Data'!P89</f>
        <v>Medium</v>
      </c>
      <c r="Q88" s="36">
        <f>'Raw Data'!Q89</f>
        <v>45571</v>
      </c>
      <c r="R88" s="17" t="str">
        <f ca="1">'Raw Data'!R89</f>
        <v>Loyal Customer</v>
      </c>
      <c r="S88" s="34" t="str">
        <f>IF(B88&lt;25,"18-24",IF(B88&lt;35,"25-34",IF(B88&lt;45,"35-44",IF(B88&lt;55,"45-54","55+"))))</f>
        <v>18-24</v>
      </c>
      <c r="T88" s="34" t="str">
        <f>IF(G88&lt;25000,"Low (&lt; ₹25K)",IF(G88&lt;50000,"Mid (₹25K-50K)","High (&gt; ₹50K)"))</f>
        <v>Low (&lt; ₹25K)</v>
      </c>
      <c r="U88" s="34">
        <f ca="1">IFERROR(TODAY()-Q88,"")</f>
        <v>554</v>
      </c>
      <c r="V88" s="34" t="str">
        <f ca="1">IF(AND(U88&lt;60,I88&gt;=12,K88&gt;=80000),"Champions",IF(AND(U88&lt;90,I88&gt;=8,K88&gt;=40000),"Loyal",IF(AND(U88&gt;180,I88&lt;5),"At Risk / Churned",IF(AND(U88&lt;120,I88&gt;=6),"Potential Loyal","Needs Attention"))))</f>
        <v>Needs Attention</v>
      </c>
    </row>
    <row r="89" spans="1:22" ht="15" customHeight="1" x14ac:dyDescent="0.2">
      <c r="A89" s="19" t="str">
        <f>'Raw Data'!A90</f>
        <v>CUST0087</v>
      </c>
      <c r="B89" s="19">
        <f>'Raw Data'!B90</f>
        <v>55</v>
      </c>
      <c r="C89" s="19" t="str">
        <f>'Raw Data'!C90</f>
        <v>Female</v>
      </c>
      <c r="D89" s="19" t="str">
        <f>'Raw Data'!D90</f>
        <v>Kolkata</v>
      </c>
      <c r="E89" s="19" t="str">
        <f>'Raw Data'!E90</f>
        <v>East</v>
      </c>
      <c r="F89" s="19" t="str">
        <f>'Raw Data'!F90</f>
        <v>Low</v>
      </c>
      <c r="G89" s="20">
        <f>'Raw Data'!G90</f>
        <v>17972</v>
      </c>
      <c r="H89" s="19" t="str">
        <f>'Raw Data'!H90</f>
        <v>Self-Employed</v>
      </c>
      <c r="I89" s="19">
        <f>'Raw Data'!I90</f>
        <v>2</v>
      </c>
      <c r="J89" s="32">
        <f>'Raw Data'!J90</f>
        <v>1997.99</v>
      </c>
      <c r="K89" s="32">
        <f>'Raw Data'!K90</f>
        <v>3995.98</v>
      </c>
      <c r="L89" s="19" t="str">
        <f>'Raw Data'!L90</f>
        <v>Home &amp; Decor</v>
      </c>
      <c r="M89" s="19" t="str">
        <f>'Raw Data'!M90</f>
        <v>Online</v>
      </c>
      <c r="N89" s="19" t="str">
        <f>'Raw Data'!N90</f>
        <v>New</v>
      </c>
      <c r="O89" s="19" t="str">
        <f>'Raw Data'!O90</f>
        <v>High</v>
      </c>
      <c r="P89" s="19" t="str">
        <f>'Raw Data'!P90</f>
        <v>Low</v>
      </c>
      <c r="Q89" s="33">
        <f>'Raw Data'!Q90</f>
        <v>45501</v>
      </c>
      <c r="R89" s="19" t="str">
        <f ca="1">'Raw Data'!R90</f>
        <v>At Risk</v>
      </c>
      <c r="S89" s="34" t="str">
        <f>IF(B89&lt;25,"18-24",IF(B89&lt;35,"25-34",IF(B89&lt;45,"35-44",IF(B89&lt;55,"45-54","55+"))))</f>
        <v>55+</v>
      </c>
      <c r="T89" s="34" t="str">
        <f>IF(G89&lt;25000,"Low (&lt; ₹25K)",IF(G89&lt;50000,"Mid (₹25K-50K)","High (&gt; ₹50K)"))</f>
        <v>Low (&lt; ₹25K)</v>
      </c>
      <c r="U89" s="34">
        <f ca="1">IFERROR(TODAY()-Q89,"")</f>
        <v>624</v>
      </c>
      <c r="V89" s="34" t="str">
        <f ca="1">IF(AND(U89&lt;60,I89&gt;=12,K89&gt;=80000),"Champions",IF(AND(U89&lt;90,I89&gt;=8,K89&gt;=40000),"Loyal",IF(AND(U89&gt;180,I89&lt;5),"At Risk / Churned",IF(AND(U89&lt;120,I89&gt;=6),"Potential Loyal","Needs Attention"))))</f>
        <v>At Risk / Churned</v>
      </c>
    </row>
    <row r="90" spans="1:22" ht="15" customHeight="1" x14ac:dyDescent="0.2">
      <c r="A90" s="17" t="str">
        <f>'Raw Data'!A91</f>
        <v>CUST0088</v>
      </c>
      <c r="B90" s="17">
        <f>'Raw Data'!B91</f>
        <v>49</v>
      </c>
      <c r="C90" s="17" t="str">
        <f>'Raw Data'!C91</f>
        <v>Male</v>
      </c>
      <c r="D90" s="17" t="str">
        <f>'Raw Data'!D91</f>
        <v>Chennai</v>
      </c>
      <c r="E90" s="17" t="str">
        <f>'Raw Data'!E91</f>
        <v>South</v>
      </c>
      <c r="F90" s="17" t="str">
        <f>'Raw Data'!F91</f>
        <v>Mid</v>
      </c>
      <c r="G90" s="18">
        <f>'Raw Data'!G91</f>
        <v>39111</v>
      </c>
      <c r="H90" s="17" t="str">
        <f>'Raw Data'!H91</f>
        <v>Self-Employed</v>
      </c>
      <c r="I90" s="17">
        <f>'Raw Data'!I91</f>
        <v>5</v>
      </c>
      <c r="J90" s="35">
        <f>'Raw Data'!J91</f>
        <v>3227.6</v>
      </c>
      <c r="K90" s="35">
        <f>'Raw Data'!K91</f>
        <v>16138</v>
      </c>
      <c r="L90" s="17" t="str">
        <f>'Raw Data'!L91</f>
        <v>Fashion</v>
      </c>
      <c r="M90" s="17" t="str">
        <f>'Raw Data'!M91</f>
        <v>Offline</v>
      </c>
      <c r="N90" s="17" t="str">
        <f>'Raw Data'!N91</f>
        <v>Returning</v>
      </c>
      <c r="O90" s="17" t="str">
        <f>'Raw Data'!O91</f>
        <v>High</v>
      </c>
      <c r="P90" s="17" t="str">
        <f>'Raw Data'!P91</f>
        <v>Medium</v>
      </c>
      <c r="Q90" s="36">
        <f>'Raw Data'!Q91</f>
        <v>45976</v>
      </c>
      <c r="R90" s="17" t="str">
        <f ca="1">'Raw Data'!R91</f>
        <v>General Customer</v>
      </c>
      <c r="S90" s="34" t="str">
        <f>IF(B90&lt;25,"18-24",IF(B90&lt;35,"25-34",IF(B90&lt;45,"35-44",IF(B90&lt;55,"45-54","55+"))))</f>
        <v>45-54</v>
      </c>
      <c r="T90" s="34" t="str">
        <f>IF(G90&lt;25000,"Low (&lt; ₹25K)",IF(G90&lt;50000,"Mid (₹25K-50K)","High (&gt; ₹50K)"))</f>
        <v>Mid (₹25K-50K)</v>
      </c>
      <c r="U90" s="34">
        <f ca="1">IFERROR(TODAY()-Q90,"")</f>
        <v>149</v>
      </c>
      <c r="V90" s="34" t="str">
        <f ca="1">IF(AND(U90&lt;60,I90&gt;=12,K90&gt;=80000),"Champions",IF(AND(U90&lt;90,I90&gt;=8,K90&gt;=40000),"Loyal",IF(AND(U90&gt;180,I90&lt;5),"At Risk / Churned",IF(AND(U90&lt;120,I90&gt;=6),"Potential Loyal","Needs Attention"))))</f>
        <v>Needs Attention</v>
      </c>
    </row>
    <row r="91" spans="1:22" ht="15" customHeight="1" x14ac:dyDescent="0.2">
      <c r="A91" s="19" t="str">
        <f>'Raw Data'!A92</f>
        <v>CUST0089</v>
      </c>
      <c r="B91" s="19">
        <f>'Raw Data'!B92</f>
        <v>22</v>
      </c>
      <c r="C91" s="19" t="str">
        <f>'Raw Data'!C92</f>
        <v>Male</v>
      </c>
      <c r="D91" s="19" t="str">
        <f>'Raw Data'!D92</f>
        <v>Mumbai</v>
      </c>
      <c r="E91" s="19" t="str">
        <f>'Raw Data'!E92</f>
        <v>West</v>
      </c>
      <c r="F91" s="19" t="str">
        <f>'Raw Data'!F92</f>
        <v>Mid</v>
      </c>
      <c r="G91" s="20">
        <f>'Raw Data'!G92</f>
        <v>35258</v>
      </c>
      <c r="H91" s="19" t="str">
        <f>'Raw Data'!H92</f>
        <v>Student</v>
      </c>
      <c r="I91" s="19">
        <f>'Raw Data'!I92</f>
        <v>19</v>
      </c>
      <c r="J91" s="32">
        <f>'Raw Data'!J92</f>
        <v>3414.06</v>
      </c>
      <c r="K91" s="32">
        <f>'Raw Data'!K92</f>
        <v>64867.14</v>
      </c>
      <c r="L91" s="19" t="str">
        <f>'Raw Data'!L92</f>
        <v>Beauty</v>
      </c>
      <c r="M91" s="19" t="str">
        <f>'Raw Data'!M92</f>
        <v>Online</v>
      </c>
      <c r="N91" s="19" t="str">
        <f>'Raw Data'!N92</f>
        <v>New</v>
      </c>
      <c r="O91" s="19" t="str">
        <f>'Raw Data'!O92</f>
        <v>Medium</v>
      </c>
      <c r="P91" s="19" t="str">
        <f>'Raw Data'!P92</f>
        <v>Low</v>
      </c>
      <c r="Q91" s="33">
        <f>'Raw Data'!Q92</f>
        <v>45706</v>
      </c>
      <c r="R91" s="19" t="str">
        <f ca="1">'Raw Data'!R92</f>
        <v>Loyal Customer</v>
      </c>
      <c r="S91" s="34" t="str">
        <f>IF(B91&lt;25,"18-24",IF(B91&lt;35,"25-34",IF(B91&lt;45,"35-44",IF(B91&lt;55,"45-54","55+"))))</f>
        <v>18-24</v>
      </c>
      <c r="T91" s="34" t="str">
        <f>IF(G91&lt;25000,"Low (&lt; ₹25K)",IF(G91&lt;50000,"Mid (₹25K-50K)","High (&gt; ₹50K)"))</f>
        <v>Mid (₹25K-50K)</v>
      </c>
      <c r="U91" s="34">
        <f ca="1">IFERROR(TODAY()-Q91,"")</f>
        <v>419</v>
      </c>
      <c r="V91" s="34" t="str">
        <f ca="1">IF(AND(U91&lt;60,I91&gt;=12,K91&gt;=80000),"Champions",IF(AND(U91&lt;90,I91&gt;=8,K91&gt;=40000),"Loyal",IF(AND(U91&gt;180,I91&lt;5),"At Risk / Churned",IF(AND(U91&lt;120,I91&gt;=6),"Potential Loyal","Needs Attention"))))</f>
        <v>Needs Attention</v>
      </c>
    </row>
    <row r="92" spans="1:22" ht="15" customHeight="1" x14ac:dyDescent="0.2">
      <c r="A92" s="17" t="str">
        <f>'Raw Data'!A93</f>
        <v>CUST0090</v>
      </c>
      <c r="B92" s="17">
        <f>'Raw Data'!B93</f>
        <v>24</v>
      </c>
      <c r="C92" s="17" t="str">
        <f>'Raw Data'!C93</f>
        <v>Male</v>
      </c>
      <c r="D92" s="17" t="str">
        <f>'Raw Data'!D93</f>
        <v>Lucknow</v>
      </c>
      <c r="E92" s="17" t="str">
        <f>'Raw Data'!E93</f>
        <v>North</v>
      </c>
      <c r="F92" s="17" t="str">
        <f>'Raw Data'!F93</f>
        <v>Mid</v>
      </c>
      <c r="G92" s="18">
        <f>'Raw Data'!G93</f>
        <v>39276</v>
      </c>
      <c r="H92" s="17" t="str">
        <f>'Raw Data'!H93</f>
        <v>Self-Employed</v>
      </c>
      <c r="I92" s="17">
        <f>'Raw Data'!I93</f>
        <v>17</v>
      </c>
      <c r="J92" s="35">
        <f>'Raw Data'!J93</f>
        <v>905.58</v>
      </c>
      <c r="K92" s="35">
        <f>'Raw Data'!K93</f>
        <v>15394.86</v>
      </c>
      <c r="L92" s="17" t="str">
        <f>'Raw Data'!L93</f>
        <v>Grocery</v>
      </c>
      <c r="M92" s="17" t="str">
        <f>'Raw Data'!M93</f>
        <v>Online</v>
      </c>
      <c r="N92" s="17" t="str">
        <f>'Raw Data'!N93</f>
        <v>New</v>
      </c>
      <c r="O92" s="17" t="str">
        <f>'Raw Data'!O93</f>
        <v>High</v>
      </c>
      <c r="P92" s="17" t="str">
        <f>'Raw Data'!P93</f>
        <v>High</v>
      </c>
      <c r="Q92" s="36">
        <f>'Raw Data'!Q93</f>
        <v>45518</v>
      </c>
      <c r="R92" s="17" t="str">
        <f ca="1">'Raw Data'!R93</f>
        <v>Bargain Seeker</v>
      </c>
      <c r="S92" s="34" t="str">
        <f>IF(B92&lt;25,"18-24",IF(B92&lt;35,"25-34",IF(B92&lt;45,"35-44",IF(B92&lt;55,"45-54","55+"))))</f>
        <v>18-24</v>
      </c>
      <c r="T92" s="34" t="str">
        <f>IF(G92&lt;25000,"Low (&lt; ₹25K)",IF(G92&lt;50000,"Mid (₹25K-50K)","High (&gt; ₹50K)"))</f>
        <v>Mid (₹25K-50K)</v>
      </c>
      <c r="U92" s="34">
        <f ca="1">IFERROR(TODAY()-Q92,"")</f>
        <v>607</v>
      </c>
      <c r="V92" s="34" t="str">
        <f ca="1">IF(AND(U92&lt;60,I92&gt;=12,K92&gt;=80000),"Champions",IF(AND(U92&lt;90,I92&gt;=8,K92&gt;=40000),"Loyal",IF(AND(U92&gt;180,I92&lt;5),"At Risk / Churned",IF(AND(U92&lt;120,I92&gt;=6),"Potential Loyal","Needs Attention"))))</f>
        <v>Needs Attention</v>
      </c>
    </row>
    <row r="93" spans="1:22" ht="15" customHeight="1" x14ac:dyDescent="0.2">
      <c r="A93" s="19" t="str">
        <f>'Raw Data'!A94</f>
        <v>CUST0091</v>
      </c>
      <c r="B93" s="19">
        <f>'Raw Data'!B94</f>
        <v>30</v>
      </c>
      <c r="C93" s="19" t="str">
        <f>'Raw Data'!C94</f>
        <v>Female</v>
      </c>
      <c r="D93" s="19" t="str">
        <f>'Raw Data'!D94</f>
        <v>Jaipur</v>
      </c>
      <c r="E93" s="19" t="str">
        <f>'Raw Data'!E94</f>
        <v>North</v>
      </c>
      <c r="F93" s="19" t="str">
        <f>'Raw Data'!F94</f>
        <v>High</v>
      </c>
      <c r="G93" s="20">
        <f>'Raw Data'!G94</f>
        <v>96019</v>
      </c>
      <c r="H93" s="19" t="str">
        <f>'Raw Data'!H94</f>
        <v>Student</v>
      </c>
      <c r="I93" s="19">
        <f>'Raw Data'!I94</f>
        <v>24</v>
      </c>
      <c r="J93" s="32">
        <f>'Raw Data'!J94</f>
        <v>7678.32</v>
      </c>
      <c r="K93" s="32">
        <f>'Raw Data'!K94</f>
        <v>184279.67999999999</v>
      </c>
      <c r="L93" s="19" t="str">
        <f>'Raw Data'!L94</f>
        <v>Home &amp; Decor</v>
      </c>
      <c r="M93" s="19" t="str">
        <f>'Raw Data'!M94</f>
        <v>Online</v>
      </c>
      <c r="N93" s="19" t="str">
        <f>'Raw Data'!N94</f>
        <v>New</v>
      </c>
      <c r="O93" s="19" t="str">
        <f>'Raw Data'!O94</f>
        <v>Medium</v>
      </c>
      <c r="P93" s="19" t="str">
        <f>'Raw Data'!P94</f>
        <v>Low</v>
      </c>
      <c r="Q93" s="33">
        <f>'Raw Data'!Q94</f>
        <v>45397</v>
      </c>
      <c r="R93" s="19" t="str">
        <f ca="1">'Raw Data'!R94</f>
        <v>Loyal Customer</v>
      </c>
      <c r="S93" s="34" t="str">
        <f>IF(B93&lt;25,"18-24",IF(B93&lt;35,"25-34",IF(B93&lt;45,"35-44",IF(B93&lt;55,"45-54","55+"))))</f>
        <v>25-34</v>
      </c>
      <c r="T93" s="34" t="str">
        <f>IF(G93&lt;25000,"Low (&lt; ₹25K)",IF(G93&lt;50000,"Mid (₹25K-50K)","High (&gt; ₹50K)"))</f>
        <v>High (&gt; ₹50K)</v>
      </c>
      <c r="U93" s="34">
        <f ca="1">IFERROR(TODAY()-Q93,"")</f>
        <v>728</v>
      </c>
      <c r="V93" s="34" t="str">
        <f ca="1">IF(AND(U93&lt;60,I93&gt;=12,K93&gt;=80000),"Champions",IF(AND(U93&lt;90,I93&gt;=8,K93&gt;=40000),"Loyal",IF(AND(U93&gt;180,I93&lt;5),"At Risk / Churned",IF(AND(U93&lt;120,I93&gt;=6),"Potential Loyal","Needs Attention"))))</f>
        <v>Needs Attention</v>
      </c>
    </row>
    <row r="94" spans="1:22" ht="15" customHeight="1" x14ac:dyDescent="0.2">
      <c r="A94" s="17" t="str">
        <f>'Raw Data'!A95</f>
        <v>CUST0092</v>
      </c>
      <c r="B94" s="17">
        <f>'Raw Data'!B95</f>
        <v>58</v>
      </c>
      <c r="C94" s="17" t="str">
        <f>'Raw Data'!C95</f>
        <v>Male</v>
      </c>
      <c r="D94" s="17" t="str">
        <f>'Raw Data'!D95</f>
        <v>Lucknow</v>
      </c>
      <c r="E94" s="17" t="str">
        <f>'Raw Data'!E95</f>
        <v>North</v>
      </c>
      <c r="F94" s="17" t="str">
        <f>'Raw Data'!F95</f>
        <v>Low</v>
      </c>
      <c r="G94" s="18">
        <f>'Raw Data'!G95</f>
        <v>18095</v>
      </c>
      <c r="H94" s="17" t="str">
        <f>'Raw Data'!H95</f>
        <v>Student</v>
      </c>
      <c r="I94" s="17">
        <f>'Raw Data'!I95</f>
        <v>22</v>
      </c>
      <c r="J94" s="35">
        <f>'Raw Data'!J95</f>
        <v>7415.99</v>
      </c>
      <c r="K94" s="35">
        <f>'Raw Data'!K95</f>
        <v>163151.78</v>
      </c>
      <c r="L94" s="17" t="str">
        <f>'Raw Data'!L95</f>
        <v>Beauty</v>
      </c>
      <c r="M94" s="17" t="str">
        <f>'Raw Data'!M95</f>
        <v>Online</v>
      </c>
      <c r="N94" s="17" t="str">
        <f>'Raw Data'!N95</f>
        <v>New</v>
      </c>
      <c r="O94" s="17" t="str">
        <f>'Raw Data'!O95</f>
        <v>Medium</v>
      </c>
      <c r="P94" s="17" t="str">
        <f>'Raw Data'!P95</f>
        <v>Medium</v>
      </c>
      <c r="Q94" s="36">
        <f>'Raw Data'!Q95</f>
        <v>45931</v>
      </c>
      <c r="R94" s="17" t="str">
        <f ca="1">'Raw Data'!R95</f>
        <v>Loyal Customer</v>
      </c>
      <c r="S94" s="34" t="str">
        <f>IF(B94&lt;25,"18-24",IF(B94&lt;35,"25-34",IF(B94&lt;45,"35-44",IF(B94&lt;55,"45-54","55+"))))</f>
        <v>55+</v>
      </c>
      <c r="T94" s="34" t="str">
        <f>IF(G94&lt;25000,"Low (&lt; ₹25K)",IF(G94&lt;50000,"Mid (₹25K-50K)","High (&gt; ₹50K)"))</f>
        <v>Low (&lt; ₹25K)</v>
      </c>
      <c r="U94" s="34">
        <f ca="1">IFERROR(TODAY()-Q94,"")</f>
        <v>194</v>
      </c>
      <c r="V94" s="34" t="str">
        <f ca="1">IF(AND(U94&lt;60,I94&gt;=12,K94&gt;=80000),"Champions",IF(AND(U94&lt;90,I94&gt;=8,K94&gt;=40000),"Loyal",IF(AND(U94&gt;180,I94&lt;5),"At Risk / Churned",IF(AND(U94&lt;120,I94&gt;=6),"Potential Loyal","Needs Attention"))))</f>
        <v>Needs Attention</v>
      </c>
    </row>
    <row r="95" spans="1:22" ht="15" customHeight="1" x14ac:dyDescent="0.2">
      <c r="A95" s="19" t="str">
        <f>'Raw Data'!A96</f>
        <v>CUST0093</v>
      </c>
      <c r="B95" s="19">
        <f>'Raw Data'!B96</f>
        <v>37</v>
      </c>
      <c r="C95" s="19" t="str">
        <f>'Raw Data'!C96</f>
        <v>Male</v>
      </c>
      <c r="D95" s="19" t="str">
        <f>'Raw Data'!D96</f>
        <v>Ahmedabad</v>
      </c>
      <c r="E95" s="19" t="str">
        <f>'Raw Data'!E96</f>
        <v>West</v>
      </c>
      <c r="F95" s="19" t="str">
        <f>'Raw Data'!F96</f>
        <v>Low</v>
      </c>
      <c r="G95" s="20">
        <f>'Raw Data'!G96</f>
        <v>23047</v>
      </c>
      <c r="H95" s="19" t="str">
        <f>'Raw Data'!H96</f>
        <v>Business Owner</v>
      </c>
      <c r="I95" s="19">
        <f>'Raw Data'!I96</f>
        <v>12</v>
      </c>
      <c r="J95" s="32">
        <f>'Raw Data'!J96</f>
        <v>4206.49</v>
      </c>
      <c r="K95" s="32">
        <f>'Raw Data'!K96</f>
        <v>50477.88</v>
      </c>
      <c r="L95" s="19" t="str">
        <f>'Raw Data'!L96</f>
        <v>Sports</v>
      </c>
      <c r="M95" s="19" t="str">
        <f>'Raw Data'!M96</f>
        <v>Online</v>
      </c>
      <c r="N95" s="19" t="str">
        <f>'Raw Data'!N96</f>
        <v>Returning</v>
      </c>
      <c r="O95" s="19" t="str">
        <f>'Raw Data'!O96</f>
        <v>Medium</v>
      </c>
      <c r="P95" s="19" t="str">
        <f>'Raw Data'!P96</f>
        <v>Medium</v>
      </c>
      <c r="Q95" s="33">
        <f>'Raw Data'!Q96</f>
        <v>45350</v>
      </c>
      <c r="R95" s="19" t="str">
        <f ca="1">'Raw Data'!R96</f>
        <v>Loyal Customer</v>
      </c>
      <c r="S95" s="34" t="str">
        <f>IF(B95&lt;25,"18-24",IF(B95&lt;35,"25-34",IF(B95&lt;45,"35-44",IF(B95&lt;55,"45-54","55+"))))</f>
        <v>35-44</v>
      </c>
      <c r="T95" s="34" t="str">
        <f>IF(G95&lt;25000,"Low (&lt; ₹25K)",IF(G95&lt;50000,"Mid (₹25K-50K)","High (&gt; ₹50K)"))</f>
        <v>Low (&lt; ₹25K)</v>
      </c>
      <c r="U95" s="34">
        <f ca="1">IFERROR(TODAY()-Q95,"")</f>
        <v>775</v>
      </c>
      <c r="V95" s="34" t="str">
        <f ca="1">IF(AND(U95&lt;60,I95&gt;=12,K95&gt;=80000),"Champions",IF(AND(U95&lt;90,I95&gt;=8,K95&gt;=40000),"Loyal",IF(AND(U95&gt;180,I95&lt;5),"At Risk / Churned",IF(AND(U95&lt;120,I95&gt;=6),"Potential Loyal","Needs Attention"))))</f>
        <v>Needs Attention</v>
      </c>
    </row>
    <row r="96" spans="1:22" ht="15" customHeight="1" x14ac:dyDescent="0.2">
      <c r="A96" s="17" t="str">
        <f>'Raw Data'!A97</f>
        <v>CUST0094</v>
      </c>
      <c r="B96" s="17">
        <f>'Raw Data'!B97</f>
        <v>47</v>
      </c>
      <c r="C96" s="17" t="str">
        <f>'Raw Data'!C97</f>
        <v>Female</v>
      </c>
      <c r="D96" s="17" t="str">
        <f>'Raw Data'!D97</f>
        <v>Delhi</v>
      </c>
      <c r="E96" s="17" t="str">
        <f>'Raw Data'!E97</f>
        <v>North</v>
      </c>
      <c r="F96" s="17" t="str">
        <f>'Raw Data'!F97</f>
        <v>High</v>
      </c>
      <c r="G96" s="18">
        <f>'Raw Data'!G97</f>
        <v>55376</v>
      </c>
      <c r="H96" s="17" t="str">
        <f>'Raw Data'!H97</f>
        <v>Freelancer</v>
      </c>
      <c r="I96" s="17">
        <f>'Raw Data'!I97</f>
        <v>15</v>
      </c>
      <c r="J96" s="35">
        <f>'Raw Data'!J97</f>
        <v>7299.68</v>
      </c>
      <c r="K96" s="35">
        <f>'Raw Data'!K97</f>
        <v>109495.2</v>
      </c>
      <c r="L96" s="17" t="str">
        <f>'Raw Data'!L97</f>
        <v>Grocery</v>
      </c>
      <c r="M96" s="17" t="str">
        <f>'Raw Data'!M97</f>
        <v>Online</v>
      </c>
      <c r="N96" s="17" t="str">
        <f>'Raw Data'!N97</f>
        <v>Returning</v>
      </c>
      <c r="O96" s="17" t="str">
        <f>'Raw Data'!O97</f>
        <v>Medium</v>
      </c>
      <c r="P96" s="17" t="str">
        <f>'Raw Data'!P97</f>
        <v>Low</v>
      </c>
      <c r="Q96" s="36">
        <f>'Raw Data'!Q97</f>
        <v>45911</v>
      </c>
      <c r="R96" s="17" t="str">
        <f ca="1">'Raw Data'!R97</f>
        <v>Loyal Customer</v>
      </c>
      <c r="S96" s="34" t="str">
        <f>IF(B96&lt;25,"18-24",IF(B96&lt;35,"25-34",IF(B96&lt;45,"35-44",IF(B96&lt;55,"45-54","55+"))))</f>
        <v>45-54</v>
      </c>
      <c r="T96" s="34" t="str">
        <f>IF(G96&lt;25000,"Low (&lt; ₹25K)",IF(G96&lt;50000,"Mid (₹25K-50K)","High (&gt; ₹50K)"))</f>
        <v>High (&gt; ₹50K)</v>
      </c>
      <c r="U96" s="34">
        <f ca="1">IFERROR(TODAY()-Q96,"")</f>
        <v>214</v>
      </c>
      <c r="V96" s="34" t="str">
        <f ca="1">IF(AND(U96&lt;60,I96&gt;=12,K96&gt;=80000),"Champions",IF(AND(U96&lt;90,I96&gt;=8,K96&gt;=40000),"Loyal",IF(AND(U96&gt;180,I96&lt;5),"At Risk / Churned",IF(AND(U96&lt;120,I96&gt;=6),"Potential Loyal","Needs Attention"))))</f>
        <v>Needs Attention</v>
      </c>
    </row>
    <row r="97" spans="1:22" ht="15" customHeight="1" x14ac:dyDescent="0.2">
      <c r="A97" s="19" t="str">
        <f>'Raw Data'!A98</f>
        <v>CUST0095</v>
      </c>
      <c r="B97" s="19">
        <f>'Raw Data'!B98</f>
        <v>23</v>
      </c>
      <c r="C97" s="19" t="str">
        <f>'Raw Data'!C98</f>
        <v>Other</v>
      </c>
      <c r="D97" s="19" t="str">
        <f>'Raw Data'!D98</f>
        <v>Ahmedabad</v>
      </c>
      <c r="E97" s="19" t="str">
        <f>'Raw Data'!E98</f>
        <v>West</v>
      </c>
      <c r="F97" s="19" t="str">
        <f>'Raw Data'!F98</f>
        <v>Low</v>
      </c>
      <c r="G97" s="20">
        <f>'Raw Data'!G98</f>
        <v>18266</v>
      </c>
      <c r="H97" s="19" t="str">
        <f>'Raw Data'!H98</f>
        <v>Self-Employed</v>
      </c>
      <c r="I97" s="19">
        <f>'Raw Data'!I98</f>
        <v>2</v>
      </c>
      <c r="J97" s="32">
        <f>'Raw Data'!J98</f>
        <v>2207.63</v>
      </c>
      <c r="K97" s="32">
        <f>'Raw Data'!K98</f>
        <v>4415.26</v>
      </c>
      <c r="L97" s="19" t="str">
        <f>'Raw Data'!L98</f>
        <v>Beauty</v>
      </c>
      <c r="M97" s="19" t="str">
        <f>'Raw Data'!M98</f>
        <v>Offline</v>
      </c>
      <c r="N97" s="19" t="str">
        <f>'Raw Data'!N98</f>
        <v>Returning</v>
      </c>
      <c r="O97" s="19" t="str">
        <f>'Raw Data'!O98</f>
        <v>Medium</v>
      </c>
      <c r="P97" s="19" t="str">
        <f>'Raw Data'!P98</f>
        <v>Medium</v>
      </c>
      <c r="Q97" s="33">
        <f>'Raw Data'!Q98</f>
        <v>45827</v>
      </c>
      <c r="R97" s="19" t="str">
        <f ca="1">'Raw Data'!R98</f>
        <v>At Risk</v>
      </c>
      <c r="S97" s="34" t="str">
        <f>IF(B97&lt;25,"18-24",IF(B97&lt;35,"25-34",IF(B97&lt;45,"35-44",IF(B97&lt;55,"45-54","55+"))))</f>
        <v>18-24</v>
      </c>
      <c r="T97" s="34" t="str">
        <f>IF(G97&lt;25000,"Low (&lt; ₹25K)",IF(G97&lt;50000,"Mid (₹25K-50K)","High (&gt; ₹50K)"))</f>
        <v>Low (&lt; ₹25K)</v>
      </c>
      <c r="U97" s="34">
        <f ca="1">IFERROR(TODAY()-Q97,"")</f>
        <v>298</v>
      </c>
      <c r="V97" s="34" t="str">
        <f ca="1">IF(AND(U97&lt;60,I97&gt;=12,K97&gt;=80000),"Champions",IF(AND(U97&lt;90,I97&gt;=8,K97&gt;=40000),"Loyal",IF(AND(U97&gt;180,I97&lt;5),"At Risk / Churned",IF(AND(U97&lt;120,I97&gt;=6),"Potential Loyal","Needs Attention"))))</f>
        <v>At Risk / Churned</v>
      </c>
    </row>
    <row r="98" spans="1:22" ht="15" customHeight="1" x14ac:dyDescent="0.2">
      <c r="A98" s="17" t="str">
        <f>'Raw Data'!A99</f>
        <v>CUST0096</v>
      </c>
      <c r="B98" s="17">
        <f>'Raw Data'!B99</f>
        <v>61</v>
      </c>
      <c r="C98" s="17" t="str">
        <f>'Raw Data'!C99</f>
        <v>Female</v>
      </c>
      <c r="D98" s="17" t="str">
        <f>'Raw Data'!D99</f>
        <v>Chennai</v>
      </c>
      <c r="E98" s="17" t="str">
        <f>'Raw Data'!E99</f>
        <v>South</v>
      </c>
      <c r="F98" s="17" t="str">
        <f>'Raw Data'!F99</f>
        <v>Mid</v>
      </c>
      <c r="G98" s="18">
        <f>'Raw Data'!G99</f>
        <v>26715</v>
      </c>
      <c r="H98" s="17" t="str">
        <f>'Raw Data'!H99</f>
        <v>Business Owner</v>
      </c>
      <c r="I98" s="17">
        <f>'Raw Data'!I99</f>
        <v>3</v>
      </c>
      <c r="J98" s="35">
        <f>'Raw Data'!J99</f>
        <v>2838.62</v>
      </c>
      <c r="K98" s="35">
        <f>'Raw Data'!K99</f>
        <v>8515.86</v>
      </c>
      <c r="L98" s="17" t="str">
        <f>'Raw Data'!L99</f>
        <v>Grocery</v>
      </c>
      <c r="M98" s="17" t="str">
        <f>'Raw Data'!M99</f>
        <v>Offline</v>
      </c>
      <c r="N98" s="17" t="str">
        <f>'Raw Data'!N99</f>
        <v>Returning</v>
      </c>
      <c r="O98" s="17" t="str">
        <f>'Raw Data'!O99</f>
        <v>Medium</v>
      </c>
      <c r="P98" s="17" t="str">
        <f>'Raw Data'!P99</f>
        <v>Medium</v>
      </c>
      <c r="Q98" s="36">
        <f>'Raw Data'!Q99</f>
        <v>45550</v>
      </c>
      <c r="R98" s="17" t="str">
        <f ca="1">'Raw Data'!R99</f>
        <v>At Risk</v>
      </c>
      <c r="S98" s="34" t="str">
        <f>IF(B98&lt;25,"18-24",IF(B98&lt;35,"25-34",IF(B98&lt;45,"35-44",IF(B98&lt;55,"45-54","55+"))))</f>
        <v>55+</v>
      </c>
      <c r="T98" s="34" t="str">
        <f>IF(G98&lt;25000,"Low (&lt; ₹25K)",IF(G98&lt;50000,"Mid (₹25K-50K)","High (&gt; ₹50K)"))</f>
        <v>Mid (₹25K-50K)</v>
      </c>
      <c r="U98" s="34">
        <f ca="1">IFERROR(TODAY()-Q98,"")</f>
        <v>575</v>
      </c>
      <c r="V98" s="34" t="str">
        <f ca="1">IF(AND(U98&lt;60,I98&gt;=12,K98&gt;=80000),"Champions",IF(AND(U98&lt;90,I98&gt;=8,K98&gt;=40000),"Loyal",IF(AND(U98&gt;180,I98&lt;5),"At Risk / Churned",IF(AND(U98&lt;120,I98&gt;=6),"Potential Loyal","Needs Attention"))))</f>
        <v>At Risk / Churned</v>
      </c>
    </row>
    <row r="99" spans="1:22" ht="15" customHeight="1" x14ac:dyDescent="0.2">
      <c r="A99" s="19" t="str">
        <f>'Raw Data'!A100</f>
        <v>CUST0097</v>
      </c>
      <c r="B99" s="19">
        <f>'Raw Data'!B100</f>
        <v>37</v>
      </c>
      <c r="C99" s="19" t="str">
        <f>'Raw Data'!C100</f>
        <v>Female</v>
      </c>
      <c r="D99" s="19" t="str">
        <f>'Raw Data'!D100</f>
        <v>Delhi</v>
      </c>
      <c r="E99" s="19" t="str">
        <f>'Raw Data'!E100</f>
        <v>North</v>
      </c>
      <c r="F99" s="19" t="str">
        <f>'Raw Data'!F100</f>
        <v>High</v>
      </c>
      <c r="G99" s="20">
        <f>'Raw Data'!G100</f>
        <v>101374</v>
      </c>
      <c r="H99" s="19" t="str">
        <f>'Raw Data'!H100</f>
        <v>Salaried</v>
      </c>
      <c r="I99" s="19">
        <f>'Raw Data'!I100</f>
        <v>5</v>
      </c>
      <c r="J99" s="32">
        <f>'Raw Data'!J100</f>
        <v>4881.82</v>
      </c>
      <c r="K99" s="32">
        <f>'Raw Data'!K100</f>
        <v>24409.1</v>
      </c>
      <c r="L99" s="19" t="str">
        <f>'Raw Data'!L100</f>
        <v>Beauty</v>
      </c>
      <c r="M99" s="19" t="str">
        <f>'Raw Data'!M100</f>
        <v>Online</v>
      </c>
      <c r="N99" s="19" t="str">
        <f>'Raw Data'!N100</f>
        <v>Returning</v>
      </c>
      <c r="O99" s="19" t="str">
        <f>'Raw Data'!O100</f>
        <v>High</v>
      </c>
      <c r="P99" s="19" t="str">
        <f>'Raw Data'!P100</f>
        <v>Medium</v>
      </c>
      <c r="Q99" s="33">
        <f>'Raw Data'!Q100</f>
        <v>45677</v>
      </c>
      <c r="R99" s="19" t="str">
        <f ca="1">'Raw Data'!R100</f>
        <v>General Customer</v>
      </c>
      <c r="S99" s="34" t="str">
        <f>IF(B99&lt;25,"18-24",IF(B99&lt;35,"25-34",IF(B99&lt;45,"35-44",IF(B99&lt;55,"45-54","55+"))))</f>
        <v>35-44</v>
      </c>
      <c r="T99" s="34" t="str">
        <f>IF(G99&lt;25000,"Low (&lt; ₹25K)",IF(G99&lt;50000,"Mid (₹25K-50K)","High (&gt; ₹50K)"))</f>
        <v>High (&gt; ₹50K)</v>
      </c>
      <c r="U99" s="34">
        <f ca="1">IFERROR(TODAY()-Q99,"")</f>
        <v>448</v>
      </c>
      <c r="V99" s="34" t="str">
        <f ca="1">IF(AND(U99&lt;60,I99&gt;=12,K99&gt;=80000),"Champions",IF(AND(U99&lt;90,I99&gt;=8,K99&gt;=40000),"Loyal",IF(AND(U99&gt;180,I99&lt;5),"At Risk / Churned",IF(AND(U99&lt;120,I99&gt;=6),"Potential Loyal","Needs Attention"))))</f>
        <v>Needs Attention</v>
      </c>
    </row>
    <row r="100" spans="1:22" ht="15" customHeight="1" x14ac:dyDescent="0.2">
      <c r="A100" s="17" t="str">
        <f>'Raw Data'!A101</f>
        <v>CUST0098</v>
      </c>
      <c r="B100" s="17">
        <f>'Raw Data'!B101</f>
        <v>19</v>
      </c>
      <c r="C100" s="17" t="str">
        <f>'Raw Data'!C101</f>
        <v>Female</v>
      </c>
      <c r="D100" s="17" t="str">
        <f>'Raw Data'!D101</f>
        <v>Jaipur</v>
      </c>
      <c r="E100" s="17" t="str">
        <f>'Raw Data'!E101</f>
        <v>North</v>
      </c>
      <c r="F100" s="17" t="str">
        <f>'Raw Data'!F101</f>
        <v>Low</v>
      </c>
      <c r="G100" s="18">
        <f>'Raw Data'!G101</f>
        <v>15940</v>
      </c>
      <c r="H100" s="17" t="str">
        <f>'Raw Data'!H101</f>
        <v>Business Owner</v>
      </c>
      <c r="I100" s="17">
        <f>'Raw Data'!I101</f>
        <v>7</v>
      </c>
      <c r="J100" s="35">
        <f>'Raw Data'!J101</f>
        <v>2931.34</v>
      </c>
      <c r="K100" s="35">
        <f>'Raw Data'!K101</f>
        <v>20519.38</v>
      </c>
      <c r="L100" s="17" t="str">
        <f>'Raw Data'!L101</f>
        <v>Sports</v>
      </c>
      <c r="M100" s="17" t="str">
        <f>'Raw Data'!M101</f>
        <v>Online</v>
      </c>
      <c r="N100" s="17" t="str">
        <f>'Raw Data'!N101</f>
        <v>New</v>
      </c>
      <c r="O100" s="17" t="str">
        <f>'Raw Data'!O101</f>
        <v>High</v>
      </c>
      <c r="P100" s="17" t="str">
        <f>'Raw Data'!P101</f>
        <v>Low</v>
      </c>
      <c r="Q100" s="36">
        <f>'Raw Data'!Q101</f>
        <v>45432</v>
      </c>
      <c r="R100" s="17" t="str">
        <f ca="1">'Raw Data'!R101</f>
        <v>General Customer</v>
      </c>
      <c r="S100" s="34" t="str">
        <f>IF(B100&lt;25,"18-24",IF(B100&lt;35,"25-34",IF(B100&lt;45,"35-44",IF(B100&lt;55,"45-54","55+"))))</f>
        <v>18-24</v>
      </c>
      <c r="T100" s="34" t="str">
        <f>IF(G100&lt;25000,"Low (&lt; ₹25K)",IF(G100&lt;50000,"Mid (₹25K-50K)","High (&gt; ₹50K)"))</f>
        <v>Low (&lt; ₹25K)</v>
      </c>
      <c r="U100" s="34">
        <f ca="1">IFERROR(TODAY()-Q100,"")</f>
        <v>693</v>
      </c>
      <c r="V100" s="34" t="str">
        <f ca="1">IF(AND(U100&lt;60,I100&gt;=12,K100&gt;=80000),"Champions",IF(AND(U100&lt;90,I100&gt;=8,K100&gt;=40000),"Loyal",IF(AND(U100&gt;180,I100&lt;5),"At Risk / Churned",IF(AND(U100&lt;120,I100&gt;=6),"Potential Loyal","Needs Attention"))))</f>
        <v>Needs Attention</v>
      </c>
    </row>
    <row r="101" spans="1:22" ht="15" customHeight="1" x14ac:dyDescent="0.2">
      <c r="A101" s="19" t="str">
        <f>'Raw Data'!A102</f>
        <v>CUST0099</v>
      </c>
      <c r="B101" s="19">
        <f>'Raw Data'!B102</f>
        <v>39</v>
      </c>
      <c r="C101" s="19" t="str">
        <f>'Raw Data'!C102</f>
        <v>Male</v>
      </c>
      <c r="D101" s="19" t="str">
        <f>'Raw Data'!D102</f>
        <v>Jaipur</v>
      </c>
      <c r="E101" s="19" t="str">
        <f>'Raw Data'!E102</f>
        <v>North</v>
      </c>
      <c r="F101" s="19" t="str">
        <f>'Raw Data'!F102</f>
        <v>High</v>
      </c>
      <c r="G101" s="20">
        <f>'Raw Data'!G102</f>
        <v>67176</v>
      </c>
      <c r="H101" s="19" t="str">
        <f>'Raw Data'!H102</f>
        <v>Freelancer</v>
      </c>
      <c r="I101" s="19">
        <f>'Raw Data'!I102</f>
        <v>20</v>
      </c>
      <c r="J101" s="32">
        <f>'Raw Data'!J102</f>
        <v>3200.74</v>
      </c>
      <c r="K101" s="32">
        <f>'Raw Data'!K102</f>
        <v>64014.8</v>
      </c>
      <c r="L101" s="19" t="str">
        <f>'Raw Data'!L102</f>
        <v>Grocery</v>
      </c>
      <c r="M101" s="19" t="str">
        <f>'Raw Data'!M102</f>
        <v>Offline</v>
      </c>
      <c r="N101" s="19" t="str">
        <f>'Raw Data'!N102</f>
        <v>Returning</v>
      </c>
      <c r="O101" s="19" t="str">
        <f>'Raw Data'!O102</f>
        <v>Low</v>
      </c>
      <c r="P101" s="19" t="str">
        <f>'Raw Data'!P102</f>
        <v>High</v>
      </c>
      <c r="Q101" s="33">
        <f>'Raw Data'!Q102</f>
        <v>45931</v>
      </c>
      <c r="R101" s="19" t="str">
        <f ca="1">'Raw Data'!R102</f>
        <v>Loyal Customer</v>
      </c>
      <c r="S101" s="34" t="str">
        <f>IF(B101&lt;25,"18-24",IF(B101&lt;35,"25-34",IF(B101&lt;45,"35-44",IF(B101&lt;55,"45-54","55+"))))</f>
        <v>35-44</v>
      </c>
      <c r="T101" s="34" t="str">
        <f>IF(G101&lt;25000,"Low (&lt; ₹25K)",IF(G101&lt;50000,"Mid (₹25K-50K)","High (&gt; ₹50K)"))</f>
        <v>High (&gt; ₹50K)</v>
      </c>
      <c r="U101" s="34">
        <f ca="1">IFERROR(TODAY()-Q101,"")</f>
        <v>194</v>
      </c>
      <c r="V101" s="34" t="str">
        <f ca="1">IF(AND(U101&lt;60,I101&gt;=12,K101&gt;=80000),"Champions",IF(AND(U101&lt;90,I101&gt;=8,K101&gt;=40000),"Loyal",IF(AND(U101&gt;180,I101&lt;5),"At Risk / Churned",IF(AND(U101&lt;120,I101&gt;=6),"Potential Loyal","Needs Attention"))))</f>
        <v>Needs Attention</v>
      </c>
    </row>
    <row r="102" spans="1:22" ht="15" customHeight="1" x14ac:dyDescent="0.2">
      <c r="A102" s="17" t="str">
        <f>'Raw Data'!A103</f>
        <v>CUST0100</v>
      </c>
      <c r="B102" s="17">
        <f>'Raw Data'!B103</f>
        <v>33</v>
      </c>
      <c r="C102" s="17" t="str">
        <f>'Raw Data'!C103</f>
        <v>Female</v>
      </c>
      <c r="D102" s="17" t="str">
        <f>'Raw Data'!D103</f>
        <v>Mumbai</v>
      </c>
      <c r="E102" s="17" t="str">
        <f>'Raw Data'!E103</f>
        <v>West</v>
      </c>
      <c r="F102" s="17" t="str">
        <f>'Raw Data'!F103</f>
        <v>Mid</v>
      </c>
      <c r="G102" s="18">
        <f>'Raw Data'!G103</f>
        <v>45007</v>
      </c>
      <c r="H102" s="17" t="str">
        <f>'Raw Data'!H103</f>
        <v>Self-Employed</v>
      </c>
      <c r="I102" s="17">
        <f>'Raw Data'!I103</f>
        <v>24</v>
      </c>
      <c r="J102" s="35">
        <f>'Raw Data'!J103</f>
        <v>6335.26</v>
      </c>
      <c r="K102" s="35">
        <f>'Raw Data'!K103</f>
        <v>152046.24</v>
      </c>
      <c r="L102" s="17" t="str">
        <f>'Raw Data'!L103</f>
        <v>Home &amp; Decor</v>
      </c>
      <c r="M102" s="17" t="str">
        <f>'Raw Data'!M103</f>
        <v>Offline</v>
      </c>
      <c r="N102" s="17" t="str">
        <f>'Raw Data'!N103</f>
        <v>Returning</v>
      </c>
      <c r="O102" s="17" t="str">
        <f>'Raw Data'!O103</f>
        <v>Low</v>
      </c>
      <c r="P102" s="17" t="str">
        <f>'Raw Data'!P103</f>
        <v>Low</v>
      </c>
      <c r="Q102" s="36">
        <f>'Raw Data'!Q103</f>
        <v>45772</v>
      </c>
      <c r="R102" s="17" t="str">
        <f ca="1">'Raw Data'!R103</f>
        <v>Loyal Customer</v>
      </c>
      <c r="S102" s="34" t="str">
        <f>IF(B102&lt;25,"18-24",IF(B102&lt;35,"25-34",IF(B102&lt;45,"35-44",IF(B102&lt;55,"45-54","55+"))))</f>
        <v>25-34</v>
      </c>
      <c r="T102" s="34" t="str">
        <f>IF(G102&lt;25000,"Low (&lt; ₹25K)",IF(G102&lt;50000,"Mid (₹25K-50K)","High (&gt; ₹50K)"))</f>
        <v>Mid (₹25K-50K)</v>
      </c>
      <c r="U102" s="34">
        <f ca="1">IFERROR(TODAY()-Q102,"")</f>
        <v>353</v>
      </c>
      <c r="V102" s="34" t="str">
        <f ca="1">IF(AND(U102&lt;60,I102&gt;=12,K102&gt;=80000),"Champions",IF(AND(U102&lt;90,I102&gt;=8,K102&gt;=40000),"Loyal",IF(AND(U102&gt;180,I102&lt;5),"At Risk / Churned",IF(AND(U102&lt;120,I102&gt;=6),"Potential Loyal","Needs Attention"))))</f>
        <v>Needs Attention</v>
      </c>
    </row>
    <row r="103" spans="1:22" ht="15" customHeight="1" x14ac:dyDescent="0.2">
      <c r="A103" s="19" t="str">
        <f>'Raw Data'!A104</f>
        <v>CUST0101</v>
      </c>
      <c r="B103" s="19">
        <f>'Raw Data'!B104</f>
        <v>42</v>
      </c>
      <c r="C103" s="19" t="str">
        <f>'Raw Data'!C104</f>
        <v>Female</v>
      </c>
      <c r="D103" s="19" t="str">
        <f>'Raw Data'!D104</f>
        <v>Lucknow</v>
      </c>
      <c r="E103" s="19" t="str">
        <f>'Raw Data'!E104</f>
        <v>North</v>
      </c>
      <c r="F103" s="19" t="str">
        <f>'Raw Data'!F104</f>
        <v>Mid</v>
      </c>
      <c r="G103" s="20">
        <f>'Raw Data'!G104</f>
        <v>42283</v>
      </c>
      <c r="H103" s="19" t="str">
        <f>'Raw Data'!H104</f>
        <v>Business Owner</v>
      </c>
      <c r="I103" s="19">
        <f>'Raw Data'!I104</f>
        <v>6</v>
      </c>
      <c r="J103" s="32">
        <f>'Raw Data'!J104</f>
        <v>6590.06</v>
      </c>
      <c r="K103" s="32">
        <f>'Raw Data'!K104</f>
        <v>39540.36</v>
      </c>
      <c r="L103" s="19" t="str">
        <f>'Raw Data'!L104</f>
        <v>Travel</v>
      </c>
      <c r="M103" s="19" t="str">
        <f>'Raw Data'!M104</f>
        <v>Offline</v>
      </c>
      <c r="N103" s="19" t="str">
        <f>'Raw Data'!N104</f>
        <v>New</v>
      </c>
      <c r="O103" s="19" t="str">
        <f>'Raw Data'!O104</f>
        <v>High</v>
      </c>
      <c r="P103" s="19" t="str">
        <f>'Raw Data'!P104</f>
        <v>Low</v>
      </c>
      <c r="Q103" s="33">
        <f>'Raw Data'!Q104</f>
        <v>45548</v>
      </c>
      <c r="R103" s="19" t="str">
        <f ca="1">'Raw Data'!R104</f>
        <v>General Customer</v>
      </c>
      <c r="S103" s="34" t="str">
        <f>IF(B103&lt;25,"18-24",IF(B103&lt;35,"25-34",IF(B103&lt;45,"35-44",IF(B103&lt;55,"45-54","55+"))))</f>
        <v>35-44</v>
      </c>
      <c r="T103" s="34" t="str">
        <f>IF(G103&lt;25000,"Low (&lt; ₹25K)",IF(G103&lt;50000,"Mid (₹25K-50K)","High (&gt; ₹50K)"))</f>
        <v>Mid (₹25K-50K)</v>
      </c>
      <c r="U103" s="34">
        <f ca="1">IFERROR(TODAY()-Q103,"")</f>
        <v>577</v>
      </c>
      <c r="V103" s="34" t="str">
        <f ca="1">IF(AND(U103&lt;60,I103&gt;=12,K103&gt;=80000),"Champions",IF(AND(U103&lt;90,I103&gt;=8,K103&gt;=40000),"Loyal",IF(AND(U103&gt;180,I103&lt;5),"At Risk / Churned",IF(AND(U103&lt;120,I103&gt;=6),"Potential Loyal","Needs Attention"))))</f>
        <v>Needs Attention</v>
      </c>
    </row>
    <row r="104" spans="1:22" ht="15" customHeight="1" x14ac:dyDescent="0.2">
      <c r="A104" s="17" t="str">
        <f>'Raw Data'!A105</f>
        <v>CUST0102</v>
      </c>
      <c r="B104" s="17">
        <f>'Raw Data'!B105</f>
        <v>36</v>
      </c>
      <c r="C104" s="17" t="str">
        <f>'Raw Data'!C105</f>
        <v>Female</v>
      </c>
      <c r="D104" s="17" t="str">
        <f>'Raw Data'!D105</f>
        <v>Jaipur</v>
      </c>
      <c r="E104" s="17" t="str">
        <f>'Raw Data'!E105</f>
        <v>North</v>
      </c>
      <c r="F104" s="17" t="str">
        <f>'Raw Data'!F105</f>
        <v>Low</v>
      </c>
      <c r="G104" s="18">
        <f>'Raw Data'!G105</f>
        <v>11374</v>
      </c>
      <c r="H104" s="17" t="str">
        <f>'Raw Data'!H105</f>
        <v>Freelancer</v>
      </c>
      <c r="I104" s="17">
        <f>'Raw Data'!I105</f>
        <v>15</v>
      </c>
      <c r="J104" s="35">
        <f>'Raw Data'!J105</f>
        <v>7270.86</v>
      </c>
      <c r="K104" s="35">
        <f>'Raw Data'!K105</f>
        <v>109062.9</v>
      </c>
      <c r="L104" s="17" t="str">
        <f>'Raw Data'!L105</f>
        <v>Beauty</v>
      </c>
      <c r="M104" s="17" t="str">
        <f>'Raw Data'!M105</f>
        <v>Online</v>
      </c>
      <c r="N104" s="17" t="str">
        <f>'Raw Data'!N105</f>
        <v>Returning</v>
      </c>
      <c r="O104" s="17" t="str">
        <f>'Raw Data'!O105</f>
        <v>Low</v>
      </c>
      <c r="P104" s="17" t="str">
        <f>'Raw Data'!P105</f>
        <v>Medium</v>
      </c>
      <c r="Q104" s="36">
        <f>'Raw Data'!Q105</f>
        <v>45519</v>
      </c>
      <c r="R104" s="17" t="str">
        <f ca="1">'Raw Data'!R105</f>
        <v>Loyal Customer</v>
      </c>
      <c r="S104" s="34" t="str">
        <f>IF(B104&lt;25,"18-24",IF(B104&lt;35,"25-34",IF(B104&lt;45,"35-44",IF(B104&lt;55,"45-54","55+"))))</f>
        <v>35-44</v>
      </c>
      <c r="T104" s="34" t="str">
        <f>IF(G104&lt;25000,"Low (&lt; ₹25K)",IF(G104&lt;50000,"Mid (₹25K-50K)","High (&gt; ₹50K)"))</f>
        <v>Low (&lt; ₹25K)</v>
      </c>
      <c r="U104" s="34">
        <f ca="1">IFERROR(TODAY()-Q104,"")</f>
        <v>606</v>
      </c>
      <c r="V104" s="34" t="str">
        <f ca="1">IF(AND(U104&lt;60,I104&gt;=12,K104&gt;=80000),"Champions",IF(AND(U104&lt;90,I104&gt;=8,K104&gt;=40000),"Loyal",IF(AND(U104&gt;180,I104&lt;5),"At Risk / Churned",IF(AND(U104&lt;120,I104&gt;=6),"Potential Loyal","Needs Attention"))))</f>
        <v>Needs Attention</v>
      </c>
    </row>
    <row r="105" spans="1:22" ht="15" customHeight="1" x14ac:dyDescent="0.2">
      <c r="A105" s="19" t="str">
        <f>'Raw Data'!A106</f>
        <v>CUST0103</v>
      </c>
      <c r="B105" s="19">
        <f>'Raw Data'!B106</f>
        <v>33</v>
      </c>
      <c r="C105" s="19" t="str">
        <f>'Raw Data'!C106</f>
        <v>Female</v>
      </c>
      <c r="D105" s="19" t="str">
        <f>'Raw Data'!D106</f>
        <v>Kolkata</v>
      </c>
      <c r="E105" s="19" t="str">
        <f>'Raw Data'!E106</f>
        <v>East</v>
      </c>
      <c r="F105" s="19" t="str">
        <f>'Raw Data'!F106</f>
        <v>Low</v>
      </c>
      <c r="G105" s="20">
        <f>'Raw Data'!G106</f>
        <v>16326</v>
      </c>
      <c r="H105" s="19" t="str">
        <f>'Raw Data'!H106</f>
        <v>Business Owner</v>
      </c>
      <c r="I105" s="19">
        <f>'Raw Data'!I106</f>
        <v>8</v>
      </c>
      <c r="J105" s="32">
        <f>'Raw Data'!J106</f>
        <v>517.04</v>
      </c>
      <c r="K105" s="32">
        <f>'Raw Data'!K106</f>
        <v>4136.32</v>
      </c>
      <c r="L105" s="19" t="str">
        <f>'Raw Data'!L106</f>
        <v>Grocery</v>
      </c>
      <c r="M105" s="19" t="str">
        <f>'Raw Data'!M106</f>
        <v>Online</v>
      </c>
      <c r="N105" s="19" t="str">
        <f>'Raw Data'!N106</f>
        <v>New</v>
      </c>
      <c r="O105" s="19" t="str">
        <f>'Raw Data'!O106</f>
        <v>High</v>
      </c>
      <c r="P105" s="19" t="str">
        <f>'Raw Data'!P106</f>
        <v>High</v>
      </c>
      <c r="Q105" s="33">
        <f>'Raw Data'!Q106</f>
        <v>45957</v>
      </c>
      <c r="R105" s="19" t="str">
        <f ca="1">'Raw Data'!R106</f>
        <v>Bargain Seeker</v>
      </c>
      <c r="S105" s="34" t="str">
        <f>IF(B105&lt;25,"18-24",IF(B105&lt;35,"25-34",IF(B105&lt;45,"35-44",IF(B105&lt;55,"45-54","55+"))))</f>
        <v>25-34</v>
      </c>
      <c r="T105" s="34" t="str">
        <f>IF(G105&lt;25000,"Low (&lt; ₹25K)",IF(G105&lt;50000,"Mid (₹25K-50K)","High (&gt; ₹50K)"))</f>
        <v>Low (&lt; ₹25K)</v>
      </c>
      <c r="U105" s="34">
        <f ca="1">IFERROR(TODAY()-Q105,"")</f>
        <v>168</v>
      </c>
      <c r="V105" s="34" t="str">
        <f ca="1">IF(AND(U105&lt;60,I105&gt;=12,K105&gt;=80000),"Champions",IF(AND(U105&lt;90,I105&gt;=8,K105&gt;=40000),"Loyal",IF(AND(U105&gt;180,I105&lt;5),"At Risk / Churned",IF(AND(U105&lt;120,I105&gt;=6),"Potential Loyal","Needs Attention"))))</f>
        <v>Needs Attention</v>
      </c>
    </row>
    <row r="106" spans="1:22" ht="15" customHeight="1" x14ac:dyDescent="0.2">
      <c r="A106" s="17" t="str">
        <f>'Raw Data'!A107</f>
        <v>CUST0104</v>
      </c>
      <c r="B106" s="17">
        <f>'Raw Data'!B107</f>
        <v>26</v>
      </c>
      <c r="C106" s="17" t="str">
        <f>'Raw Data'!C107</f>
        <v>Female</v>
      </c>
      <c r="D106" s="17" t="str">
        <f>'Raw Data'!D107</f>
        <v>Mumbai</v>
      </c>
      <c r="E106" s="17" t="str">
        <f>'Raw Data'!E107</f>
        <v>West</v>
      </c>
      <c r="F106" s="17" t="str">
        <f>'Raw Data'!F107</f>
        <v>Mid</v>
      </c>
      <c r="G106" s="18">
        <f>'Raw Data'!G107</f>
        <v>48119</v>
      </c>
      <c r="H106" s="17" t="str">
        <f>'Raw Data'!H107</f>
        <v>Business Owner</v>
      </c>
      <c r="I106" s="17">
        <f>'Raw Data'!I107</f>
        <v>15</v>
      </c>
      <c r="J106" s="35">
        <f>'Raw Data'!J107</f>
        <v>5038.18</v>
      </c>
      <c r="K106" s="35">
        <f>'Raw Data'!K107</f>
        <v>75572.7</v>
      </c>
      <c r="L106" s="17" t="str">
        <f>'Raw Data'!L107</f>
        <v>Books</v>
      </c>
      <c r="M106" s="17" t="str">
        <f>'Raw Data'!M107</f>
        <v>Online</v>
      </c>
      <c r="N106" s="17" t="str">
        <f>'Raw Data'!N107</f>
        <v>Returning</v>
      </c>
      <c r="O106" s="17" t="str">
        <f>'Raw Data'!O107</f>
        <v>High</v>
      </c>
      <c r="P106" s="17" t="str">
        <f>'Raw Data'!P107</f>
        <v>Low</v>
      </c>
      <c r="Q106" s="36">
        <f>'Raw Data'!Q107</f>
        <v>45512</v>
      </c>
      <c r="R106" s="17" t="str">
        <f ca="1">'Raw Data'!R107</f>
        <v>Loyal Customer</v>
      </c>
      <c r="S106" s="34" t="str">
        <f>IF(B106&lt;25,"18-24",IF(B106&lt;35,"25-34",IF(B106&lt;45,"35-44",IF(B106&lt;55,"45-54","55+"))))</f>
        <v>25-34</v>
      </c>
      <c r="T106" s="34" t="str">
        <f>IF(G106&lt;25000,"Low (&lt; ₹25K)",IF(G106&lt;50000,"Mid (₹25K-50K)","High (&gt; ₹50K)"))</f>
        <v>Mid (₹25K-50K)</v>
      </c>
      <c r="U106" s="34">
        <f ca="1">IFERROR(TODAY()-Q106,"")</f>
        <v>613</v>
      </c>
      <c r="V106" s="34" t="str">
        <f ca="1">IF(AND(U106&lt;60,I106&gt;=12,K106&gt;=80000),"Champions",IF(AND(U106&lt;90,I106&gt;=8,K106&gt;=40000),"Loyal",IF(AND(U106&gt;180,I106&lt;5),"At Risk / Churned",IF(AND(U106&lt;120,I106&gt;=6),"Potential Loyal","Needs Attention"))))</f>
        <v>Needs Attention</v>
      </c>
    </row>
    <row r="107" spans="1:22" ht="15" customHeight="1" x14ac:dyDescent="0.2">
      <c r="A107" s="19" t="str">
        <f>'Raw Data'!A108</f>
        <v>CUST0105</v>
      </c>
      <c r="B107" s="19">
        <f>'Raw Data'!B108</f>
        <v>33</v>
      </c>
      <c r="C107" s="19" t="str">
        <f>'Raw Data'!C108</f>
        <v>Male</v>
      </c>
      <c r="D107" s="19" t="str">
        <f>'Raw Data'!D108</f>
        <v>Chennai</v>
      </c>
      <c r="E107" s="19" t="str">
        <f>'Raw Data'!E108</f>
        <v>South</v>
      </c>
      <c r="F107" s="19" t="str">
        <f>'Raw Data'!F108</f>
        <v>Low</v>
      </c>
      <c r="G107" s="20">
        <f>'Raw Data'!G108</f>
        <v>16878</v>
      </c>
      <c r="H107" s="19" t="str">
        <f>'Raw Data'!H108</f>
        <v>Self-Employed</v>
      </c>
      <c r="I107" s="19">
        <f>'Raw Data'!I108</f>
        <v>3</v>
      </c>
      <c r="J107" s="32">
        <f>'Raw Data'!J108</f>
        <v>1153.6099999999999</v>
      </c>
      <c r="K107" s="32">
        <f>'Raw Data'!K108</f>
        <v>3460.83</v>
      </c>
      <c r="L107" s="19" t="str">
        <f>'Raw Data'!L108</f>
        <v>Home &amp; Decor</v>
      </c>
      <c r="M107" s="19" t="str">
        <f>'Raw Data'!M108</f>
        <v>Online</v>
      </c>
      <c r="N107" s="19" t="str">
        <f>'Raw Data'!N108</f>
        <v>Returning</v>
      </c>
      <c r="O107" s="19" t="str">
        <f>'Raw Data'!O108</f>
        <v>High</v>
      </c>
      <c r="P107" s="19" t="str">
        <f>'Raw Data'!P108</f>
        <v>Medium</v>
      </c>
      <c r="Q107" s="33">
        <f>'Raw Data'!Q108</f>
        <v>45308</v>
      </c>
      <c r="R107" s="19" t="str">
        <f ca="1">'Raw Data'!R108</f>
        <v>At Risk</v>
      </c>
      <c r="S107" s="34" t="str">
        <f>IF(B107&lt;25,"18-24",IF(B107&lt;35,"25-34",IF(B107&lt;45,"35-44",IF(B107&lt;55,"45-54","55+"))))</f>
        <v>25-34</v>
      </c>
      <c r="T107" s="34" t="str">
        <f>IF(G107&lt;25000,"Low (&lt; ₹25K)",IF(G107&lt;50000,"Mid (₹25K-50K)","High (&gt; ₹50K)"))</f>
        <v>Low (&lt; ₹25K)</v>
      </c>
      <c r="U107" s="34">
        <f ca="1">IFERROR(TODAY()-Q107,"")</f>
        <v>817</v>
      </c>
      <c r="V107" s="34" t="str">
        <f ca="1">IF(AND(U107&lt;60,I107&gt;=12,K107&gt;=80000),"Champions",IF(AND(U107&lt;90,I107&gt;=8,K107&gt;=40000),"Loyal",IF(AND(U107&gt;180,I107&lt;5),"At Risk / Churned",IF(AND(U107&lt;120,I107&gt;=6),"Potential Loyal","Needs Attention"))))</f>
        <v>At Risk / Churned</v>
      </c>
    </row>
    <row r="108" spans="1:22" ht="15" customHeight="1" x14ac:dyDescent="0.2">
      <c r="A108" s="17" t="str">
        <f>'Raw Data'!A109</f>
        <v>CUST0106</v>
      </c>
      <c r="B108" s="17">
        <f>'Raw Data'!B109</f>
        <v>33</v>
      </c>
      <c r="C108" s="17" t="str">
        <f>'Raw Data'!C109</f>
        <v>Female</v>
      </c>
      <c r="D108" s="17" t="str">
        <f>'Raw Data'!D109</f>
        <v>Chennai</v>
      </c>
      <c r="E108" s="17" t="str">
        <f>'Raw Data'!E109</f>
        <v>South</v>
      </c>
      <c r="F108" s="17" t="str">
        <f>'Raw Data'!F109</f>
        <v>Mid</v>
      </c>
      <c r="G108" s="18">
        <f>'Raw Data'!G109</f>
        <v>38650</v>
      </c>
      <c r="H108" s="17" t="str">
        <f>'Raw Data'!H109</f>
        <v>Student</v>
      </c>
      <c r="I108" s="17">
        <f>'Raw Data'!I109</f>
        <v>22</v>
      </c>
      <c r="J108" s="35">
        <f>'Raw Data'!J109</f>
        <v>5445.25</v>
      </c>
      <c r="K108" s="35">
        <f>'Raw Data'!K109</f>
        <v>119795.5</v>
      </c>
      <c r="L108" s="17" t="str">
        <f>'Raw Data'!L109</f>
        <v>Electronics</v>
      </c>
      <c r="M108" s="17" t="str">
        <f>'Raw Data'!M109</f>
        <v>Offline</v>
      </c>
      <c r="N108" s="17" t="str">
        <f>'Raw Data'!N109</f>
        <v>Returning</v>
      </c>
      <c r="O108" s="17" t="str">
        <f>'Raw Data'!O109</f>
        <v>Medium</v>
      </c>
      <c r="P108" s="17" t="str">
        <f>'Raw Data'!P109</f>
        <v>Medium</v>
      </c>
      <c r="Q108" s="36">
        <f>'Raw Data'!Q109</f>
        <v>45830</v>
      </c>
      <c r="R108" s="17" t="str">
        <f ca="1">'Raw Data'!R109</f>
        <v>Loyal Customer</v>
      </c>
      <c r="S108" s="34" t="str">
        <f>IF(B108&lt;25,"18-24",IF(B108&lt;35,"25-34",IF(B108&lt;45,"35-44",IF(B108&lt;55,"45-54","55+"))))</f>
        <v>25-34</v>
      </c>
      <c r="T108" s="34" t="str">
        <f>IF(G108&lt;25000,"Low (&lt; ₹25K)",IF(G108&lt;50000,"Mid (₹25K-50K)","High (&gt; ₹50K)"))</f>
        <v>Mid (₹25K-50K)</v>
      </c>
      <c r="U108" s="34">
        <f ca="1">IFERROR(TODAY()-Q108,"")</f>
        <v>295</v>
      </c>
      <c r="V108" s="34" t="str">
        <f ca="1">IF(AND(U108&lt;60,I108&gt;=12,K108&gt;=80000),"Champions",IF(AND(U108&lt;90,I108&gt;=8,K108&gt;=40000),"Loyal",IF(AND(U108&gt;180,I108&lt;5),"At Risk / Churned",IF(AND(U108&lt;120,I108&gt;=6),"Potential Loyal","Needs Attention"))))</f>
        <v>Needs Attention</v>
      </c>
    </row>
    <row r="109" spans="1:22" ht="15" customHeight="1" x14ac:dyDescent="0.2">
      <c r="A109" s="19" t="str">
        <f>'Raw Data'!A110</f>
        <v>CUST0107</v>
      </c>
      <c r="B109" s="19">
        <f>'Raw Data'!B110</f>
        <v>34</v>
      </c>
      <c r="C109" s="19" t="str">
        <f>'Raw Data'!C110</f>
        <v>Other</v>
      </c>
      <c r="D109" s="19" t="str">
        <f>'Raw Data'!D110</f>
        <v>Ahmedabad</v>
      </c>
      <c r="E109" s="19" t="str">
        <f>'Raw Data'!E110</f>
        <v>West</v>
      </c>
      <c r="F109" s="19" t="str">
        <f>'Raw Data'!F110</f>
        <v>Low</v>
      </c>
      <c r="G109" s="20">
        <f>'Raw Data'!G110</f>
        <v>22244</v>
      </c>
      <c r="H109" s="19" t="str">
        <f>'Raw Data'!H110</f>
        <v>Business Owner</v>
      </c>
      <c r="I109" s="19">
        <f>'Raw Data'!I110</f>
        <v>3</v>
      </c>
      <c r="J109" s="32">
        <f>'Raw Data'!J110</f>
        <v>2954.98</v>
      </c>
      <c r="K109" s="32">
        <f>'Raw Data'!K110</f>
        <v>8864.94</v>
      </c>
      <c r="L109" s="19" t="str">
        <f>'Raw Data'!L110</f>
        <v>Beauty</v>
      </c>
      <c r="M109" s="19" t="str">
        <f>'Raw Data'!M110</f>
        <v>Online</v>
      </c>
      <c r="N109" s="19" t="str">
        <f>'Raw Data'!N110</f>
        <v>Returning</v>
      </c>
      <c r="O109" s="19" t="str">
        <f>'Raw Data'!O110</f>
        <v>High</v>
      </c>
      <c r="P109" s="19" t="str">
        <f>'Raw Data'!P110</f>
        <v>Medium</v>
      </c>
      <c r="Q109" s="33">
        <f>'Raw Data'!Q110</f>
        <v>45887</v>
      </c>
      <c r="R109" s="19" t="str">
        <f ca="1">'Raw Data'!R110</f>
        <v>At Risk</v>
      </c>
      <c r="S109" s="34" t="str">
        <f>IF(B109&lt;25,"18-24",IF(B109&lt;35,"25-34",IF(B109&lt;45,"35-44",IF(B109&lt;55,"45-54","55+"))))</f>
        <v>25-34</v>
      </c>
      <c r="T109" s="34" t="str">
        <f>IF(G109&lt;25000,"Low (&lt; ₹25K)",IF(G109&lt;50000,"Mid (₹25K-50K)","High (&gt; ₹50K)"))</f>
        <v>Low (&lt; ₹25K)</v>
      </c>
      <c r="U109" s="34">
        <f ca="1">IFERROR(TODAY()-Q109,"")</f>
        <v>238</v>
      </c>
      <c r="V109" s="34" t="str">
        <f ca="1">IF(AND(U109&lt;60,I109&gt;=12,K109&gt;=80000),"Champions",IF(AND(U109&lt;90,I109&gt;=8,K109&gt;=40000),"Loyal",IF(AND(U109&gt;180,I109&lt;5),"At Risk / Churned",IF(AND(U109&lt;120,I109&gt;=6),"Potential Loyal","Needs Attention"))))</f>
        <v>At Risk / Churned</v>
      </c>
    </row>
    <row r="110" spans="1:22" ht="15" customHeight="1" x14ac:dyDescent="0.2">
      <c r="A110" s="17" t="str">
        <f>'Raw Data'!A111</f>
        <v>CUST0108</v>
      </c>
      <c r="B110" s="17">
        <f>'Raw Data'!B111</f>
        <v>59</v>
      </c>
      <c r="C110" s="17" t="str">
        <f>'Raw Data'!C111</f>
        <v>Male</v>
      </c>
      <c r="D110" s="17" t="str">
        <f>'Raw Data'!D111</f>
        <v>Mumbai</v>
      </c>
      <c r="E110" s="17" t="str">
        <f>'Raw Data'!E111</f>
        <v>West</v>
      </c>
      <c r="F110" s="17" t="str">
        <f>'Raw Data'!F111</f>
        <v>Mid</v>
      </c>
      <c r="G110" s="18">
        <f>'Raw Data'!G111</f>
        <v>47435</v>
      </c>
      <c r="H110" s="17" t="str">
        <f>'Raw Data'!H111</f>
        <v>Freelancer</v>
      </c>
      <c r="I110" s="17">
        <f>'Raw Data'!I111</f>
        <v>23</v>
      </c>
      <c r="J110" s="35">
        <f>'Raw Data'!J111</f>
        <v>3984.69</v>
      </c>
      <c r="K110" s="35">
        <f>'Raw Data'!K111</f>
        <v>91647.87</v>
      </c>
      <c r="L110" s="17" t="str">
        <f>'Raw Data'!L111</f>
        <v>Home &amp; Decor</v>
      </c>
      <c r="M110" s="17" t="str">
        <f>'Raw Data'!M111</f>
        <v>Online</v>
      </c>
      <c r="N110" s="17" t="str">
        <f>'Raw Data'!N111</f>
        <v>New</v>
      </c>
      <c r="O110" s="17" t="str">
        <f>'Raw Data'!O111</f>
        <v>Low</v>
      </c>
      <c r="P110" s="17" t="str">
        <f>'Raw Data'!P111</f>
        <v>Low</v>
      </c>
      <c r="Q110" s="36">
        <f>'Raw Data'!Q111</f>
        <v>45760</v>
      </c>
      <c r="R110" s="17" t="str">
        <f ca="1">'Raw Data'!R111</f>
        <v>Loyal Customer</v>
      </c>
      <c r="S110" s="34" t="str">
        <f>IF(B110&lt;25,"18-24",IF(B110&lt;35,"25-34",IF(B110&lt;45,"35-44",IF(B110&lt;55,"45-54","55+"))))</f>
        <v>55+</v>
      </c>
      <c r="T110" s="34" t="str">
        <f>IF(G110&lt;25000,"Low (&lt; ₹25K)",IF(G110&lt;50000,"Mid (₹25K-50K)","High (&gt; ₹50K)"))</f>
        <v>Mid (₹25K-50K)</v>
      </c>
      <c r="U110" s="34">
        <f ca="1">IFERROR(TODAY()-Q110,"")</f>
        <v>365</v>
      </c>
      <c r="V110" s="34" t="str">
        <f ca="1">IF(AND(U110&lt;60,I110&gt;=12,K110&gt;=80000),"Champions",IF(AND(U110&lt;90,I110&gt;=8,K110&gt;=40000),"Loyal",IF(AND(U110&gt;180,I110&lt;5),"At Risk / Churned",IF(AND(U110&lt;120,I110&gt;=6),"Potential Loyal","Needs Attention"))))</f>
        <v>Needs Attention</v>
      </c>
    </row>
    <row r="111" spans="1:22" ht="15" customHeight="1" x14ac:dyDescent="0.2">
      <c r="A111" s="19" t="str">
        <f>'Raw Data'!A112</f>
        <v>CUST0109</v>
      </c>
      <c r="B111" s="19">
        <f>'Raw Data'!B112</f>
        <v>50</v>
      </c>
      <c r="C111" s="19" t="str">
        <f>'Raw Data'!C112</f>
        <v>Female</v>
      </c>
      <c r="D111" s="19" t="str">
        <f>'Raw Data'!D112</f>
        <v>Hyderabad</v>
      </c>
      <c r="E111" s="19" t="str">
        <f>'Raw Data'!E112</f>
        <v>South</v>
      </c>
      <c r="F111" s="19" t="str">
        <f>'Raw Data'!F112</f>
        <v>Low</v>
      </c>
      <c r="G111" s="20">
        <f>'Raw Data'!G112</f>
        <v>16524</v>
      </c>
      <c r="H111" s="19" t="str">
        <f>'Raw Data'!H112</f>
        <v>Self-Employed</v>
      </c>
      <c r="I111" s="19">
        <f>'Raw Data'!I112</f>
        <v>9</v>
      </c>
      <c r="J111" s="32">
        <f>'Raw Data'!J112</f>
        <v>581.98</v>
      </c>
      <c r="K111" s="32">
        <f>'Raw Data'!K112</f>
        <v>5237.82</v>
      </c>
      <c r="L111" s="19" t="str">
        <f>'Raw Data'!L112</f>
        <v>Beauty</v>
      </c>
      <c r="M111" s="19" t="str">
        <f>'Raw Data'!M112</f>
        <v>Offline</v>
      </c>
      <c r="N111" s="19" t="str">
        <f>'Raw Data'!N112</f>
        <v>Returning</v>
      </c>
      <c r="O111" s="19" t="str">
        <f>'Raw Data'!O112</f>
        <v>Medium</v>
      </c>
      <c r="P111" s="19" t="str">
        <f>'Raw Data'!P112</f>
        <v>Low</v>
      </c>
      <c r="Q111" s="33">
        <f>'Raw Data'!Q112</f>
        <v>45340</v>
      </c>
      <c r="R111" s="19" t="str">
        <f ca="1">'Raw Data'!R112</f>
        <v>General Customer</v>
      </c>
      <c r="S111" s="34" t="str">
        <f>IF(B111&lt;25,"18-24",IF(B111&lt;35,"25-34",IF(B111&lt;45,"35-44",IF(B111&lt;55,"45-54","55+"))))</f>
        <v>45-54</v>
      </c>
      <c r="T111" s="34" t="str">
        <f>IF(G111&lt;25000,"Low (&lt; ₹25K)",IF(G111&lt;50000,"Mid (₹25K-50K)","High (&gt; ₹50K)"))</f>
        <v>Low (&lt; ₹25K)</v>
      </c>
      <c r="U111" s="34">
        <f ca="1">IFERROR(TODAY()-Q111,"")</f>
        <v>785</v>
      </c>
      <c r="V111" s="34" t="str">
        <f ca="1">IF(AND(U111&lt;60,I111&gt;=12,K111&gt;=80000),"Champions",IF(AND(U111&lt;90,I111&gt;=8,K111&gt;=40000),"Loyal",IF(AND(U111&gt;180,I111&lt;5),"At Risk / Churned",IF(AND(U111&lt;120,I111&gt;=6),"Potential Loyal","Needs Attention"))))</f>
        <v>Needs Attention</v>
      </c>
    </row>
    <row r="112" spans="1:22" ht="15" customHeight="1" x14ac:dyDescent="0.2">
      <c r="A112" s="17" t="str">
        <f>'Raw Data'!A113</f>
        <v>CUST0110</v>
      </c>
      <c r="B112" s="17">
        <f>'Raw Data'!B113</f>
        <v>65</v>
      </c>
      <c r="C112" s="17" t="str">
        <f>'Raw Data'!C113</f>
        <v>Female</v>
      </c>
      <c r="D112" s="17" t="str">
        <f>'Raw Data'!D113</f>
        <v>Delhi</v>
      </c>
      <c r="E112" s="17" t="str">
        <f>'Raw Data'!E113</f>
        <v>North</v>
      </c>
      <c r="F112" s="17" t="str">
        <f>'Raw Data'!F113</f>
        <v>Mid</v>
      </c>
      <c r="G112" s="18">
        <f>'Raw Data'!G113</f>
        <v>37669</v>
      </c>
      <c r="H112" s="17" t="str">
        <f>'Raw Data'!H113</f>
        <v>Business Owner</v>
      </c>
      <c r="I112" s="17">
        <f>'Raw Data'!I113</f>
        <v>6</v>
      </c>
      <c r="J112" s="35">
        <f>'Raw Data'!J113</f>
        <v>4120.76</v>
      </c>
      <c r="K112" s="35">
        <f>'Raw Data'!K113</f>
        <v>24724.560000000001</v>
      </c>
      <c r="L112" s="17" t="str">
        <f>'Raw Data'!L113</f>
        <v>Fashion</v>
      </c>
      <c r="M112" s="17" t="str">
        <f>'Raw Data'!M113</f>
        <v>Offline</v>
      </c>
      <c r="N112" s="17" t="str">
        <f>'Raw Data'!N113</f>
        <v>New</v>
      </c>
      <c r="O112" s="17" t="str">
        <f>'Raw Data'!O113</f>
        <v>Medium</v>
      </c>
      <c r="P112" s="17" t="str">
        <f>'Raw Data'!P113</f>
        <v>High</v>
      </c>
      <c r="Q112" s="36">
        <f>'Raw Data'!Q113</f>
        <v>45823</v>
      </c>
      <c r="R112" s="17" t="str">
        <f ca="1">'Raw Data'!R113</f>
        <v>General Customer</v>
      </c>
      <c r="S112" s="34" t="str">
        <f>IF(B112&lt;25,"18-24",IF(B112&lt;35,"25-34",IF(B112&lt;45,"35-44",IF(B112&lt;55,"45-54","55+"))))</f>
        <v>55+</v>
      </c>
      <c r="T112" s="34" t="str">
        <f>IF(G112&lt;25000,"Low (&lt; ₹25K)",IF(G112&lt;50000,"Mid (₹25K-50K)","High (&gt; ₹50K)"))</f>
        <v>Mid (₹25K-50K)</v>
      </c>
      <c r="U112" s="34">
        <f ca="1">IFERROR(TODAY()-Q112,"")</f>
        <v>302</v>
      </c>
      <c r="V112" s="34" t="str">
        <f ca="1">IF(AND(U112&lt;60,I112&gt;=12,K112&gt;=80000),"Champions",IF(AND(U112&lt;90,I112&gt;=8,K112&gt;=40000),"Loyal",IF(AND(U112&gt;180,I112&lt;5),"At Risk / Churned",IF(AND(U112&lt;120,I112&gt;=6),"Potential Loyal","Needs Attention"))))</f>
        <v>Needs Attention</v>
      </c>
    </row>
    <row r="113" spans="1:22" ht="15" customHeight="1" x14ac:dyDescent="0.2">
      <c r="A113" s="19" t="str">
        <f>'Raw Data'!A114</f>
        <v>CUST0111</v>
      </c>
      <c r="B113" s="19">
        <f>'Raw Data'!B114</f>
        <v>29</v>
      </c>
      <c r="C113" s="19" t="str">
        <f>'Raw Data'!C114</f>
        <v>Other</v>
      </c>
      <c r="D113" s="19" t="str">
        <f>'Raw Data'!D114</f>
        <v>Delhi</v>
      </c>
      <c r="E113" s="19" t="str">
        <f>'Raw Data'!E114</f>
        <v>North</v>
      </c>
      <c r="F113" s="19" t="str">
        <f>'Raw Data'!F114</f>
        <v>Mid</v>
      </c>
      <c r="G113" s="20">
        <f>'Raw Data'!G114</f>
        <v>34626</v>
      </c>
      <c r="H113" s="19" t="str">
        <f>'Raw Data'!H114</f>
        <v>Freelancer</v>
      </c>
      <c r="I113" s="19">
        <f>'Raw Data'!I114</f>
        <v>4</v>
      </c>
      <c r="J113" s="32">
        <f>'Raw Data'!J114</f>
        <v>916.53</v>
      </c>
      <c r="K113" s="32">
        <f>'Raw Data'!K114</f>
        <v>3666.12</v>
      </c>
      <c r="L113" s="19" t="str">
        <f>'Raw Data'!L114</f>
        <v>Grocery</v>
      </c>
      <c r="M113" s="19" t="str">
        <f>'Raw Data'!M114</f>
        <v>Offline</v>
      </c>
      <c r="N113" s="19" t="str">
        <f>'Raw Data'!N114</f>
        <v>Returning</v>
      </c>
      <c r="O113" s="19" t="str">
        <f>'Raw Data'!O114</f>
        <v>Medium</v>
      </c>
      <c r="P113" s="19" t="str">
        <f>'Raw Data'!P114</f>
        <v>Medium</v>
      </c>
      <c r="Q113" s="33">
        <f>'Raw Data'!Q114</f>
        <v>45909</v>
      </c>
      <c r="R113" s="19" t="str">
        <f ca="1">'Raw Data'!R114</f>
        <v>At Risk</v>
      </c>
      <c r="S113" s="34" t="str">
        <f>IF(B113&lt;25,"18-24",IF(B113&lt;35,"25-34",IF(B113&lt;45,"35-44",IF(B113&lt;55,"45-54","55+"))))</f>
        <v>25-34</v>
      </c>
      <c r="T113" s="34" t="str">
        <f>IF(G113&lt;25000,"Low (&lt; ₹25K)",IF(G113&lt;50000,"Mid (₹25K-50K)","High (&gt; ₹50K)"))</f>
        <v>Mid (₹25K-50K)</v>
      </c>
      <c r="U113" s="34">
        <f ca="1">IFERROR(TODAY()-Q113,"")</f>
        <v>216</v>
      </c>
      <c r="V113" s="34" t="str">
        <f ca="1">IF(AND(U113&lt;60,I113&gt;=12,K113&gt;=80000),"Champions",IF(AND(U113&lt;90,I113&gt;=8,K113&gt;=40000),"Loyal",IF(AND(U113&gt;180,I113&lt;5),"At Risk / Churned",IF(AND(U113&lt;120,I113&gt;=6),"Potential Loyal","Needs Attention"))))</f>
        <v>At Risk / Churned</v>
      </c>
    </row>
    <row r="114" spans="1:22" ht="15" customHeight="1" x14ac:dyDescent="0.2">
      <c r="A114" s="17" t="str">
        <f>'Raw Data'!A115</f>
        <v>CUST0112</v>
      </c>
      <c r="B114" s="17">
        <f>'Raw Data'!B115</f>
        <v>40</v>
      </c>
      <c r="C114" s="17" t="str">
        <f>'Raw Data'!C115</f>
        <v>Female</v>
      </c>
      <c r="D114" s="17" t="str">
        <f>'Raw Data'!D115</f>
        <v>Pune</v>
      </c>
      <c r="E114" s="17" t="str">
        <f>'Raw Data'!E115</f>
        <v>West</v>
      </c>
      <c r="F114" s="17" t="str">
        <f>'Raw Data'!F115</f>
        <v>Mid</v>
      </c>
      <c r="G114" s="18">
        <f>'Raw Data'!G115</f>
        <v>39252</v>
      </c>
      <c r="H114" s="17" t="str">
        <f>'Raw Data'!H115</f>
        <v>Student</v>
      </c>
      <c r="I114" s="17">
        <f>'Raw Data'!I115</f>
        <v>21</v>
      </c>
      <c r="J114" s="35">
        <f>'Raw Data'!J115</f>
        <v>7846.21</v>
      </c>
      <c r="K114" s="35">
        <f>'Raw Data'!K115</f>
        <v>164770.41</v>
      </c>
      <c r="L114" s="17" t="str">
        <f>'Raw Data'!L115</f>
        <v>Grocery</v>
      </c>
      <c r="M114" s="17" t="str">
        <f>'Raw Data'!M115</f>
        <v>Online</v>
      </c>
      <c r="N114" s="17" t="str">
        <f>'Raw Data'!N115</f>
        <v>Returning</v>
      </c>
      <c r="O114" s="17" t="str">
        <f>'Raw Data'!O115</f>
        <v>High</v>
      </c>
      <c r="P114" s="17" t="str">
        <f>'Raw Data'!P115</f>
        <v>Low</v>
      </c>
      <c r="Q114" s="36">
        <f>'Raw Data'!Q115</f>
        <v>45944</v>
      </c>
      <c r="R114" s="17" t="str">
        <f ca="1">'Raw Data'!R115</f>
        <v>Premium Customer</v>
      </c>
      <c r="S114" s="34" t="str">
        <f>IF(B114&lt;25,"18-24",IF(B114&lt;35,"25-34",IF(B114&lt;45,"35-44",IF(B114&lt;55,"45-54","55+"))))</f>
        <v>35-44</v>
      </c>
      <c r="T114" s="34" t="str">
        <f>IF(G114&lt;25000,"Low (&lt; ₹25K)",IF(G114&lt;50000,"Mid (₹25K-50K)","High (&gt; ₹50K)"))</f>
        <v>Mid (₹25K-50K)</v>
      </c>
      <c r="U114" s="34">
        <f ca="1">IFERROR(TODAY()-Q114,"")</f>
        <v>181</v>
      </c>
      <c r="V114" s="34" t="str">
        <f ca="1">IF(AND(U114&lt;60,I114&gt;=12,K114&gt;=80000),"Champions",IF(AND(U114&lt;90,I114&gt;=8,K114&gt;=40000),"Loyal",IF(AND(U114&gt;180,I114&lt;5),"At Risk / Churned",IF(AND(U114&lt;120,I114&gt;=6),"Potential Loyal","Needs Attention"))))</f>
        <v>Needs Attention</v>
      </c>
    </row>
    <row r="115" spans="1:22" ht="15" customHeight="1" x14ac:dyDescent="0.2">
      <c r="A115" s="19" t="str">
        <f>'Raw Data'!A116</f>
        <v>CUST0113</v>
      </c>
      <c r="B115" s="19">
        <f>'Raw Data'!B116</f>
        <v>22</v>
      </c>
      <c r="C115" s="19" t="str">
        <f>'Raw Data'!C116</f>
        <v>Male</v>
      </c>
      <c r="D115" s="19" t="str">
        <f>'Raw Data'!D116</f>
        <v>Bangalore</v>
      </c>
      <c r="E115" s="19" t="str">
        <f>'Raw Data'!E116</f>
        <v>South</v>
      </c>
      <c r="F115" s="19" t="str">
        <f>'Raw Data'!F116</f>
        <v>High</v>
      </c>
      <c r="G115" s="20">
        <f>'Raw Data'!G116</f>
        <v>98015</v>
      </c>
      <c r="H115" s="19" t="str">
        <f>'Raw Data'!H116</f>
        <v>Business Owner</v>
      </c>
      <c r="I115" s="19">
        <f>'Raw Data'!I116</f>
        <v>12</v>
      </c>
      <c r="J115" s="32">
        <f>'Raw Data'!J116</f>
        <v>3247.98</v>
      </c>
      <c r="K115" s="32">
        <f>'Raw Data'!K116</f>
        <v>38975.760000000002</v>
      </c>
      <c r="L115" s="19" t="str">
        <f>'Raw Data'!L116</f>
        <v>Beauty</v>
      </c>
      <c r="M115" s="19" t="str">
        <f>'Raw Data'!M116</f>
        <v>Offline</v>
      </c>
      <c r="N115" s="19" t="str">
        <f>'Raw Data'!N116</f>
        <v>Returning</v>
      </c>
      <c r="O115" s="19" t="str">
        <f>'Raw Data'!O116</f>
        <v>Medium</v>
      </c>
      <c r="P115" s="19" t="str">
        <f>'Raw Data'!P116</f>
        <v>Medium</v>
      </c>
      <c r="Q115" s="33">
        <f>'Raw Data'!Q116</f>
        <v>45987</v>
      </c>
      <c r="R115" s="19" t="str">
        <f ca="1">'Raw Data'!R116</f>
        <v>General Customer</v>
      </c>
      <c r="S115" s="34" t="str">
        <f>IF(B115&lt;25,"18-24",IF(B115&lt;35,"25-34",IF(B115&lt;45,"35-44",IF(B115&lt;55,"45-54","55+"))))</f>
        <v>18-24</v>
      </c>
      <c r="T115" s="34" t="str">
        <f>IF(G115&lt;25000,"Low (&lt; ₹25K)",IF(G115&lt;50000,"Mid (₹25K-50K)","High (&gt; ₹50K)"))</f>
        <v>High (&gt; ₹50K)</v>
      </c>
      <c r="U115" s="34">
        <f ca="1">IFERROR(TODAY()-Q115,"")</f>
        <v>138</v>
      </c>
      <c r="V115" s="34" t="str">
        <f ca="1">IF(AND(U115&lt;60,I115&gt;=12,K115&gt;=80000),"Champions",IF(AND(U115&lt;90,I115&gt;=8,K115&gt;=40000),"Loyal",IF(AND(U115&gt;180,I115&lt;5),"At Risk / Churned",IF(AND(U115&lt;120,I115&gt;=6),"Potential Loyal","Needs Attention"))))</f>
        <v>Needs Attention</v>
      </c>
    </row>
    <row r="116" spans="1:22" ht="15" customHeight="1" x14ac:dyDescent="0.2">
      <c r="A116" s="17" t="str">
        <f>'Raw Data'!A117</f>
        <v>CUST0114</v>
      </c>
      <c r="B116" s="17">
        <f>'Raw Data'!B117</f>
        <v>41</v>
      </c>
      <c r="C116" s="17" t="str">
        <f>'Raw Data'!C117</f>
        <v>Male</v>
      </c>
      <c r="D116" s="17" t="str">
        <f>'Raw Data'!D117</f>
        <v>Ahmedabad</v>
      </c>
      <c r="E116" s="17" t="str">
        <f>'Raw Data'!E117</f>
        <v>West</v>
      </c>
      <c r="F116" s="17" t="str">
        <f>'Raw Data'!F117</f>
        <v>Low</v>
      </c>
      <c r="G116" s="18">
        <f>'Raw Data'!G117</f>
        <v>16521</v>
      </c>
      <c r="H116" s="17" t="str">
        <f>'Raw Data'!H117</f>
        <v>Freelancer</v>
      </c>
      <c r="I116" s="17">
        <f>'Raw Data'!I117</f>
        <v>8</v>
      </c>
      <c r="J116" s="35">
        <f>'Raw Data'!J117</f>
        <v>7696</v>
      </c>
      <c r="K116" s="35">
        <f>'Raw Data'!K117</f>
        <v>61568</v>
      </c>
      <c r="L116" s="17" t="str">
        <f>'Raw Data'!L117</f>
        <v>Fashion</v>
      </c>
      <c r="M116" s="17" t="str">
        <f>'Raw Data'!M117</f>
        <v>Offline</v>
      </c>
      <c r="N116" s="17" t="str">
        <f>'Raw Data'!N117</f>
        <v>Returning</v>
      </c>
      <c r="O116" s="17" t="str">
        <f>'Raw Data'!O117</f>
        <v>Low</v>
      </c>
      <c r="P116" s="17" t="str">
        <f>'Raw Data'!P117</f>
        <v>Low</v>
      </c>
      <c r="Q116" s="36">
        <f>'Raw Data'!Q117</f>
        <v>45822</v>
      </c>
      <c r="R116" s="17" t="str">
        <f ca="1">'Raw Data'!R117</f>
        <v>General Customer</v>
      </c>
      <c r="S116" s="34" t="str">
        <f>IF(B116&lt;25,"18-24",IF(B116&lt;35,"25-34",IF(B116&lt;45,"35-44",IF(B116&lt;55,"45-54","55+"))))</f>
        <v>35-44</v>
      </c>
      <c r="T116" s="34" t="str">
        <f>IF(G116&lt;25000,"Low (&lt; ₹25K)",IF(G116&lt;50000,"Mid (₹25K-50K)","High (&gt; ₹50K)"))</f>
        <v>Low (&lt; ₹25K)</v>
      </c>
      <c r="U116" s="34">
        <f ca="1">IFERROR(TODAY()-Q116,"")</f>
        <v>303</v>
      </c>
      <c r="V116" s="34" t="str">
        <f ca="1">IF(AND(U116&lt;60,I116&gt;=12,K116&gt;=80000),"Champions",IF(AND(U116&lt;90,I116&gt;=8,K116&gt;=40000),"Loyal",IF(AND(U116&gt;180,I116&lt;5),"At Risk / Churned",IF(AND(U116&lt;120,I116&gt;=6),"Potential Loyal","Needs Attention"))))</f>
        <v>Needs Attention</v>
      </c>
    </row>
    <row r="117" spans="1:22" ht="15" customHeight="1" x14ac:dyDescent="0.2">
      <c r="A117" s="19" t="str">
        <f>'Raw Data'!A118</f>
        <v>CUST0115</v>
      </c>
      <c r="B117" s="19">
        <f>'Raw Data'!B118</f>
        <v>57</v>
      </c>
      <c r="C117" s="19" t="str">
        <f>'Raw Data'!C118</f>
        <v>Male</v>
      </c>
      <c r="D117" s="19" t="str">
        <f>'Raw Data'!D118</f>
        <v>Chennai</v>
      </c>
      <c r="E117" s="19" t="str">
        <f>'Raw Data'!E118</f>
        <v>South</v>
      </c>
      <c r="F117" s="19" t="str">
        <f>'Raw Data'!F118</f>
        <v>High</v>
      </c>
      <c r="G117" s="20">
        <f>'Raw Data'!G118</f>
        <v>114382</v>
      </c>
      <c r="H117" s="19" t="str">
        <f>'Raw Data'!H118</f>
        <v>Business Owner</v>
      </c>
      <c r="I117" s="19">
        <f>'Raw Data'!I118</f>
        <v>7</v>
      </c>
      <c r="J117" s="32">
        <f>'Raw Data'!J118</f>
        <v>1244.31</v>
      </c>
      <c r="K117" s="32">
        <f>'Raw Data'!K118</f>
        <v>8710.17</v>
      </c>
      <c r="L117" s="19" t="str">
        <f>'Raw Data'!L118</f>
        <v>Fashion</v>
      </c>
      <c r="M117" s="19" t="str">
        <f>'Raw Data'!M118</f>
        <v>Offline</v>
      </c>
      <c r="N117" s="19" t="str">
        <f>'Raw Data'!N118</f>
        <v>Returning</v>
      </c>
      <c r="O117" s="19" t="str">
        <f>'Raw Data'!O118</f>
        <v>High</v>
      </c>
      <c r="P117" s="19" t="str">
        <f>'Raw Data'!P118</f>
        <v>Medium</v>
      </c>
      <c r="Q117" s="33">
        <f>'Raw Data'!Q118</f>
        <v>46022</v>
      </c>
      <c r="R117" s="19" t="str">
        <f ca="1">'Raw Data'!R118</f>
        <v>General Customer</v>
      </c>
      <c r="S117" s="34" t="str">
        <f>IF(B117&lt;25,"18-24",IF(B117&lt;35,"25-34",IF(B117&lt;45,"35-44",IF(B117&lt;55,"45-54","55+"))))</f>
        <v>55+</v>
      </c>
      <c r="T117" s="34" t="str">
        <f>IF(G117&lt;25000,"Low (&lt; ₹25K)",IF(G117&lt;50000,"Mid (₹25K-50K)","High (&gt; ₹50K)"))</f>
        <v>High (&gt; ₹50K)</v>
      </c>
      <c r="U117" s="34">
        <f ca="1">IFERROR(TODAY()-Q117,"")</f>
        <v>103</v>
      </c>
      <c r="V117" s="34" t="str">
        <f ca="1">IF(AND(U117&lt;60,I117&gt;=12,K117&gt;=80000),"Champions",IF(AND(U117&lt;90,I117&gt;=8,K117&gt;=40000),"Loyal",IF(AND(U117&gt;180,I117&lt;5),"At Risk / Churned",IF(AND(U117&lt;120,I117&gt;=6),"Potential Loyal","Needs Attention"))))</f>
        <v>Potential Loyal</v>
      </c>
    </row>
    <row r="118" spans="1:22" ht="15" customHeight="1" x14ac:dyDescent="0.2">
      <c r="A118" s="17" t="str">
        <f>'Raw Data'!A119</f>
        <v>CUST0116</v>
      </c>
      <c r="B118" s="17">
        <f>'Raw Data'!B119</f>
        <v>36</v>
      </c>
      <c r="C118" s="17" t="str">
        <f>'Raw Data'!C119</f>
        <v>Female</v>
      </c>
      <c r="D118" s="17" t="str">
        <f>'Raw Data'!D119</f>
        <v>Pune</v>
      </c>
      <c r="E118" s="17" t="str">
        <f>'Raw Data'!E119</f>
        <v>West</v>
      </c>
      <c r="F118" s="17" t="str">
        <f>'Raw Data'!F119</f>
        <v>High</v>
      </c>
      <c r="G118" s="18">
        <f>'Raw Data'!G119</f>
        <v>70644</v>
      </c>
      <c r="H118" s="17" t="str">
        <f>'Raw Data'!H119</f>
        <v>Student</v>
      </c>
      <c r="I118" s="17">
        <f>'Raw Data'!I119</f>
        <v>23</v>
      </c>
      <c r="J118" s="35">
        <f>'Raw Data'!J119</f>
        <v>5763.64</v>
      </c>
      <c r="K118" s="35">
        <f>'Raw Data'!K119</f>
        <v>132563.72</v>
      </c>
      <c r="L118" s="17" t="str">
        <f>'Raw Data'!L119</f>
        <v>Fashion</v>
      </c>
      <c r="M118" s="17" t="str">
        <f>'Raw Data'!M119</f>
        <v>Online</v>
      </c>
      <c r="N118" s="17" t="str">
        <f>'Raw Data'!N119</f>
        <v>Returning</v>
      </c>
      <c r="O118" s="17" t="str">
        <f>'Raw Data'!O119</f>
        <v>High</v>
      </c>
      <c r="P118" s="17" t="str">
        <f>'Raw Data'!P119</f>
        <v>Low</v>
      </c>
      <c r="Q118" s="36">
        <f>'Raw Data'!Q119</f>
        <v>45662</v>
      </c>
      <c r="R118" s="17" t="str">
        <f ca="1">'Raw Data'!R119</f>
        <v>Premium Customer</v>
      </c>
      <c r="S118" s="34" t="str">
        <f>IF(B118&lt;25,"18-24",IF(B118&lt;35,"25-34",IF(B118&lt;45,"35-44",IF(B118&lt;55,"45-54","55+"))))</f>
        <v>35-44</v>
      </c>
      <c r="T118" s="34" t="str">
        <f>IF(G118&lt;25000,"Low (&lt; ₹25K)",IF(G118&lt;50000,"Mid (₹25K-50K)","High (&gt; ₹50K)"))</f>
        <v>High (&gt; ₹50K)</v>
      </c>
      <c r="U118" s="34">
        <f ca="1">IFERROR(TODAY()-Q118,"")</f>
        <v>463</v>
      </c>
      <c r="V118" s="34" t="str">
        <f ca="1">IF(AND(U118&lt;60,I118&gt;=12,K118&gt;=80000),"Champions",IF(AND(U118&lt;90,I118&gt;=8,K118&gt;=40000),"Loyal",IF(AND(U118&gt;180,I118&lt;5),"At Risk / Churned",IF(AND(U118&lt;120,I118&gt;=6),"Potential Loyal","Needs Attention"))))</f>
        <v>Needs Attention</v>
      </c>
    </row>
    <row r="119" spans="1:22" ht="15" customHeight="1" x14ac:dyDescent="0.2">
      <c r="A119" s="19" t="str">
        <f>'Raw Data'!A120</f>
        <v>CUST0117</v>
      </c>
      <c r="B119" s="19">
        <f>'Raw Data'!B120</f>
        <v>53</v>
      </c>
      <c r="C119" s="19" t="str">
        <f>'Raw Data'!C120</f>
        <v>Male</v>
      </c>
      <c r="D119" s="19" t="str">
        <f>'Raw Data'!D120</f>
        <v>Bangalore</v>
      </c>
      <c r="E119" s="19" t="str">
        <f>'Raw Data'!E120</f>
        <v>South</v>
      </c>
      <c r="F119" s="19" t="str">
        <f>'Raw Data'!F120</f>
        <v>Low</v>
      </c>
      <c r="G119" s="20">
        <f>'Raw Data'!G120</f>
        <v>19376</v>
      </c>
      <c r="H119" s="19" t="str">
        <f>'Raw Data'!H120</f>
        <v>Business Owner</v>
      </c>
      <c r="I119" s="19">
        <f>'Raw Data'!I120</f>
        <v>18</v>
      </c>
      <c r="J119" s="32">
        <f>'Raw Data'!J120</f>
        <v>1299.24</v>
      </c>
      <c r="K119" s="32">
        <f>'Raw Data'!K120</f>
        <v>23386.32</v>
      </c>
      <c r="L119" s="19" t="str">
        <f>'Raw Data'!L120</f>
        <v>Travel</v>
      </c>
      <c r="M119" s="19" t="str">
        <f>'Raw Data'!M120</f>
        <v>Offline</v>
      </c>
      <c r="N119" s="19" t="str">
        <f>'Raw Data'!N120</f>
        <v>Returning</v>
      </c>
      <c r="O119" s="19" t="str">
        <f>'Raw Data'!O120</f>
        <v>High</v>
      </c>
      <c r="P119" s="19" t="str">
        <f>'Raw Data'!P120</f>
        <v>Low</v>
      </c>
      <c r="Q119" s="33">
        <f>'Raw Data'!Q120</f>
        <v>45699</v>
      </c>
      <c r="R119" s="19" t="str">
        <f ca="1">'Raw Data'!R120</f>
        <v>General Customer</v>
      </c>
      <c r="S119" s="34" t="str">
        <f>IF(B119&lt;25,"18-24",IF(B119&lt;35,"25-34",IF(B119&lt;45,"35-44",IF(B119&lt;55,"45-54","55+"))))</f>
        <v>45-54</v>
      </c>
      <c r="T119" s="34" t="str">
        <f>IF(G119&lt;25000,"Low (&lt; ₹25K)",IF(G119&lt;50000,"Mid (₹25K-50K)","High (&gt; ₹50K)"))</f>
        <v>Low (&lt; ₹25K)</v>
      </c>
      <c r="U119" s="34">
        <f ca="1">IFERROR(TODAY()-Q119,"")</f>
        <v>426</v>
      </c>
      <c r="V119" s="34" t="str">
        <f ca="1">IF(AND(U119&lt;60,I119&gt;=12,K119&gt;=80000),"Champions",IF(AND(U119&lt;90,I119&gt;=8,K119&gt;=40000),"Loyal",IF(AND(U119&gt;180,I119&lt;5),"At Risk / Churned",IF(AND(U119&lt;120,I119&gt;=6),"Potential Loyal","Needs Attention"))))</f>
        <v>Needs Attention</v>
      </c>
    </row>
    <row r="120" spans="1:22" ht="15" customHeight="1" x14ac:dyDescent="0.2">
      <c r="A120" s="17" t="str">
        <f>'Raw Data'!A121</f>
        <v>CUST0118</v>
      </c>
      <c r="B120" s="17">
        <f>'Raw Data'!B121</f>
        <v>38</v>
      </c>
      <c r="C120" s="17" t="str">
        <f>'Raw Data'!C121</f>
        <v>Male</v>
      </c>
      <c r="D120" s="17" t="str">
        <f>'Raw Data'!D121</f>
        <v>Kolkata</v>
      </c>
      <c r="E120" s="17" t="str">
        <f>'Raw Data'!E121</f>
        <v>East</v>
      </c>
      <c r="F120" s="17" t="str">
        <f>'Raw Data'!F121</f>
        <v>High</v>
      </c>
      <c r="G120" s="18">
        <f>'Raw Data'!G121</f>
        <v>108979</v>
      </c>
      <c r="H120" s="17" t="str">
        <f>'Raw Data'!H121</f>
        <v>Student</v>
      </c>
      <c r="I120" s="17">
        <f>'Raw Data'!I121</f>
        <v>15</v>
      </c>
      <c r="J120" s="35">
        <f>'Raw Data'!J121</f>
        <v>5536.84</v>
      </c>
      <c r="K120" s="35">
        <f>'Raw Data'!K121</f>
        <v>83052.600000000006</v>
      </c>
      <c r="L120" s="17" t="str">
        <f>'Raw Data'!L121</f>
        <v>Grocery</v>
      </c>
      <c r="M120" s="17" t="str">
        <f>'Raw Data'!M121</f>
        <v>Online</v>
      </c>
      <c r="N120" s="17" t="str">
        <f>'Raw Data'!N121</f>
        <v>Returning</v>
      </c>
      <c r="O120" s="17" t="str">
        <f>'Raw Data'!O121</f>
        <v>Medium</v>
      </c>
      <c r="P120" s="17" t="str">
        <f>'Raw Data'!P121</f>
        <v>High</v>
      </c>
      <c r="Q120" s="36">
        <f>'Raw Data'!Q121</f>
        <v>45856</v>
      </c>
      <c r="R120" s="17" t="str">
        <f ca="1">'Raw Data'!R121</f>
        <v>Loyal Customer</v>
      </c>
      <c r="S120" s="34" t="str">
        <f>IF(B120&lt;25,"18-24",IF(B120&lt;35,"25-34",IF(B120&lt;45,"35-44",IF(B120&lt;55,"45-54","55+"))))</f>
        <v>35-44</v>
      </c>
      <c r="T120" s="34" t="str">
        <f>IF(G120&lt;25000,"Low (&lt; ₹25K)",IF(G120&lt;50000,"Mid (₹25K-50K)","High (&gt; ₹50K)"))</f>
        <v>High (&gt; ₹50K)</v>
      </c>
      <c r="U120" s="34">
        <f ca="1">IFERROR(TODAY()-Q120,"")</f>
        <v>269</v>
      </c>
      <c r="V120" s="34" t="str">
        <f ca="1">IF(AND(U120&lt;60,I120&gt;=12,K120&gt;=80000),"Champions",IF(AND(U120&lt;90,I120&gt;=8,K120&gt;=40000),"Loyal",IF(AND(U120&gt;180,I120&lt;5),"At Risk / Churned",IF(AND(U120&lt;120,I120&gt;=6),"Potential Loyal","Needs Attention"))))</f>
        <v>Needs Attention</v>
      </c>
    </row>
    <row r="121" spans="1:22" ht="15" customHeight="1" x14ac:dyDescent="0.2">
      <c r="A121" s="19" t="str">
        <f>'Raw Data'!A122</f>
        <v>CUST0119</v>
      </c>
      <c r="B121" s="19">
        <f>'Raw Data'!B122</f>
        <v>51</v>
      </c>
      <c r="C121" s="19" t="str">
        <f>'Raw Data'!C122</f>
        <v>Female</v>
      </c>
      <c r="D121" s="19" t="str">
        <f>'Raw Data'!D122</f>
        <v>Kolkata</v>
      </c>
      <c r="E121" s="19" t="str">
        <f>'Raw Data'!E122</f>
        <v>East</v>
      </c>
      <c r="F121" s="19" t="str">
        <f>'Raw Data'!F122</f>
        <v>High</v>
      </c>
      <c r="G121" s="20">
        <f>'Raw Data'!G122</f>
        <v>71581</v>
      </c>
      <c r="H121" s="19" t="str">
        <f>'Raw Data'!H122</f>
        <v>Student</v>
      </c>
      <c r="I121" s="19">
        <f>'Raw Data'!I122</f>
        <v>6</v>
      </c>
      <c r="J121" s="32">
        <f>'Raw Data'!J122</f>
        <v>2784.49</v>
      </c>
      <c r="K121" s="32">
        <f>'Raw Data'!K122</f>
        <v>16706.939999999999</v>
      </c>
      <c r="L121" s="19" t="str">
        <f>'Raw Data'!L122</f>
        <v>Fashion</v>
      </c>
      <c r="M121" s="19" t="str">
        <f>'Raw Data'!M122</f>
        <v>Offline</v>
      </c>
      <c r="N121" s="19" t="str">
        <f>'Raw Data'!N122</f>
        <v>Returning</v>
      </c>
      <c r="O121" s="19" t="str">
        <f>'Raw Data'!O122</f>
        <v>High</v>
      </c>
      <c r="P121" s="19" t="str">
        <f>'Raw Data'!P122</f>
        <v>Medium</v>
      </c>
      <c r="Q121" s="33">
        <f>'Raw Data'!Q122</f>
        <v>45823</v>
      </c>
      <c r="R121" s="19" t="str">
        <f ca="1">'Raw Data'!R122</f>
        <v>General Customer</v>
      </c>
      <c r="S121" s="34" t="str">
        <f>IF(B121&lt;25,"18-24",IF(B121&lt;35,"25-34",IF(B121&lt;45,"35-44",IF(B121&lt;55,"45-54","55+"))))</f>
        <v>45-54</v>
      </c>
      <c r="T121" s="34" t="str">
        <f>IF(G121&lt;25000,"Low (&lt; ₹25K)",IF(G121&lt;50000,"Mid (₹25K-50K)","High (&gt; ₹50K)"))</f>
        <v>High (&gt; ₹50K)</v>
      </c>
      <c r="U121" s="34">
        <f ca="1">IFERROR(TODAY()-Q121,"")</f>
        <v>302</v>
      </c>
      <c r="V121" s="34" t="str">
        <f ca="1">IF(AND(U121&lt;60,I121&gt;=12,K121&gt;=80000),"Champions",IF(AND(U121&lt;90,I121&gt;=8,K121&gt;=40000),"Loyal",IF(AND(U121&gt;180,I121&lt;5),"At Risk / Churned",IF(AND(U121&lt;120,I121&gt;=6),"Potential Loyal","Needs Attention"))))</f>
        <v>Needs Attention</v>
      </c>
    </row>
    <row r="122" spans="1:22" ht="15" customHeight="1" x14ac:dyDescent="0.2">
      <c r="A122" s="17" t="str">
        <f>'Raw Data'!A123</f>
        <v>CUST0120</v>
      </c>
      <c r="B122" s="17">
        <f>'Raw Data'!B123</f>
        <v>58</v>
      </c>
      <c r="C122" s="17" t="str">
        <f>'Raw Data'!C123</f>
        <v>Male</v>
      </c>
      <c r="D122" s="17" t="str">
        <f>'Raw Data'!D123</f>
        <v>Hyderabad</v>
      </c>
      <c r="E122" s="17" t="str">
        <f>'Raw Data'!E123</f>
        <v>South</v>
      </c>
      <c r="F122" s="17" t="str">
        <f>'Raw Data'!F123</f>
        <v>High</v>
      </c>
      <c r="G122" s="18">
        <f>'Raw Data'!G123</f>
        <v>119924</v>
      </c>
      <c r="H122" s="17" t="str">
        <f>'Raw Data'!H123</f>
        <v>Freelancer</v>
      </c>
      <c r="I122" s="17">
        <f>'Raw Data'!I123</f>
        <v>3</v>
      </c>
      <c r="J122" s="35">
        <f>'Raw Data'!J123</f>
        <v>4169.8100000000004</v>
      </c>
      <c r="K122" s="35">
        <f>'Raw Data'!K123</f>
        <v>12509.43</v>
      </c>
      <c r="L122" s="17" t="str">
        <f>'Raw Data'!L123</f>
        <v>Beauty</v>
      </c>
      <c r="M122" s="17" t="str">
        <f>'Raw Data'!M123</f>
        <v>Online</v>
      </c>
      <c r="N122" s="17" t="str">
        <f>'Raw Data'!N123</f>
        <v>New</v>
      </c>
      <c r="O122" s="17" t="str">
        <f>'Raw Data'!O123</f>
        <v>Low</v>
      </c>
      <c r="P122" s="17" t="str">
        <f>'Raw Data'!P123</f>
        <v>High</v>
      </c>
      <c r="Q122" s="36">
        <f>'Raw Data'!Q123</f>
        <v>45449</v>
      </c>
      <c r="R122" s="17" t="str">
        <f ca="1">'Raw Data'!R123</f>
        <v>At Risk</v>
      </c>
      <c r="S122" s="34" t="str">
        <f>IF(B122&lt;25,"18-24",IF(B122&lt;35,"25-34",IF(B122&lt;45,"35-44",IF(B122&lt;55,"45-54","55+"))))</f>
        <v>55+</v>
      </c>
      <c r="T122" s="34" t="str">
        <f>IF(G122&lt;25000,"Low (&lt; ₹25K)",IF(G122&lt;50000,"Mid (₹25K-50K)","High (&gt; ₹50K)"))</f>
        <v>High (&gt; ₹50K)</v>
      </c>
      <c r="U122" s="34">
        <f ca="1">IFERROR(TODAY()-Q122,"")</f>
        <v>676</v>
      </c>
      <c r="V122" s="34" t="str">
        <f ca="1">IF(AND(U122&lt;60,I122&gt;=12,K122&gt;=80000),"Champions",IF(AND(U122&lt;90,I122&gt;=8,K122&gt;=40000),"Loyal",IF(AND(U122&gt;180,I122&lt;5),"At Risk / Churned",IF(AND(U122&lt;120,I122&gt;=6),"Potential Loyal","Needs Attention"))))</f>
        <v>At Risk / Churned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3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3.98828125" style="1" customWidth="1"/>
    <col min="2" max="2" width="6.05078125" style="1" customWidth="1"/>
    <col min="3" max="3" width="9.01171875" style="1" customWidth="1"/>
    <col min="4" max="4" width="13.98828125" style="1" customWidth="1"/>
    <col min="5" max="5" width="9.01171875" style="1" customWidth="1"/>
    <col min="6" max="6" width="11.97265625" style="1" customWidth="1"/>
    <col min="7" max="7" width="20.04296875" style="1" customWidth="1"/>
    <col min="8" max="8" width="16.0078125" style="1" customWidth="1"/>
    <col min="9" max="9" width="18.0234375" style="1" customWidth="1"/>
    <col min="10" max="12" width="20.04296875" style="1" customWidth="1"/>
    <col min="13" max="13" width="18.0234375" style="1" customWidth="1"/>
    <col min="14" max="14" width="13.98828125" style="1" customWidth="1"/>
    <col min="15" max="15" width="16.94921875" style="1" customWidth="1"/>
    <col min="16" max="18" width="20.04296875" style="1" customWidth="1"/>
  </cols>
  <sheetData>
    <row r="1" spans="1:18" ht="30" customHeight="1" x14ac:dyDescent="0.2">
      <c r="A1" s="63" t="s">
        <v>259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18" customHeight="1" x14ac:dyDescent="0.2">
      <c r="A2" s="64" t="s">
        <v>260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36" customHeight="1" x14ac:dyDescent="0.2">
      <c r="A3" s="31" t="s">
        <v>241</v>
      </c>
      <c r="B3" s="31" t="s">
        <v>242</v>
      </c>
      <c r="C3" s="31" t="s">
        <v>243</v>
      </c>
      <c r="D3" s="31" t="s">
        <v>244</v>
      </c>
      <c r="E3" s="31" t="s">
        <v>91</v>
      </c>
      <c r="F3" s="31" t="s">
        <v>245</v>
      </c>
      <c r="G3" s="31" t="s">
        <v>246</v>
      </c>
      <c r="H3" s="31" t="s">
        <v>247</v>
      </c>
      <c r="I3" s="31" t="s">
        <v>151</v>
      </c>
      <c r="J3" s="31" t="s">
        <v>248</v>
      </c>
      <c r="K3" s="31" t="s">
        <v>249</v>
      </c>
      <c r="L3" s="31" t="s">
        <v>250</v>
      </c>
      <c r="M3" s="31" t="s">
        <v>251</v>
      </c>
      <c r="N3" s="31" t="s">
        <v>252</v>
      </c>
      <c r="O3" s="31" t="s">
        <v>253</v>
      </c>
      <c r="P3" s="31" t="s">
        <v>254</v>
      </c>
      <c r="Q3" s="31" t="s">
        <v>143</v>
      </c>
      <c r="R3" s="31" t="s">
        <v>255</v>
      </c>
    </row>
    <row r="4" spans="1:18" ht="15" customHeight="1" x14ac:dyDescent="0.2">
      <c r="A4" s="19" t="s">
        <v>261</v>
      </c>
      <c r="B4" s="37">
        <v>26</v>
      </c>
      <c r="C4" s="19" t="s">
        <v>262</v>
      </c>
      <c r="D4" s="37" t="s">
        <v>263</v>
      </c>
      <c r="E4" s="19" t="s">
        <v>97</v>
      </c>
      <c r="F4" s="19" t="s">
        <v>190</v>
      </c>
      <c r="G4" s="38">
        <v>22066</v>
      </c>
      <c r="H4" s="19" t="s">
        <v>264</v>
      </c>
      <c r="I4" s="37">
        <v>19</v>
      </c>
      <c r="J4" s="39">
        <v>3548.8</v>
      </c>
      <c r="K4" s="39">
        <v>67427.199999999997</v>
      </c>
      <c r="L4" s="19" t="s">
        <v>119</v>
      </c>
      <c r="M4" s="19" t="s">
        <v>118</v>
      </c>
      <c r="N4" s="19" t="s">
        <v>116</v>
      </c>
      <c r="O4" s="19" t="s">
        <v>190</v>
      </c>
      <c r="P4" s="19" t="s">
        <v>190</v>
      </c>
      <c r="Q4" s="40">
        <v>45809</v>
      </c>
      <c r="R4" s="19" t="str">
        <f ca="1">IF(AND(K4&gt;=100000,O4="High"),"Premium Customer",IF(AND(I4&gt;=12,K4&gt;=50000),"Loyal Customer",IF(AND(P4="High",J4&lt;1500),"Bargain Seeker",IF(AND(TODAY()-Q4&gt;180,I4&lt;5),"At Risk","General Customer"))))</f>
        <v>Loyal Customer</v>
      </c>
    </row>
    <row r="5" spans="1:18" ht="15" customHeight="1" x14ac:dyDescent="0.2">
      <c r="A5" s="17" t="s">
        <v>265</v>
      </c>
      <c r="B5" s="41">
        <v>18</v>
      </c>
      <c r="C5" s="17" t="s">
        <v>262</v>
      </c>
      <c r="D5" s="41" t="s">
        <v>266</v>
      </c>
      <c r="E5" s="17" t="s">
        <v>98</v>
      </c>
      <c r="F5" s="17" t="s">
        <v>267</v>
      </c>
      <c r="G5" s="42">
        <v>30231</v>
      </c>
      <c r="H5" s="17" t="s">
        <v>268</v>
      </c>
      <c r="I5" s="41">
        <v>11</v>
      </c>
      <c r="J5" s="43">
        <v>2439.61</v>
      </c>
      <c r="K5" s="43">
        <v>26835.71</v>
      </c>
      <c r="L5" s="17" t="s">
        <v>115</v>
      </c>
      <c r="M5" s="17" t="s">
        <v>118</v>
      </c>
      <c r="N5" s="17" t="s">
        <v>114</v>
      </c>
      <c r="O5" s="17" t="s">
        <v>190</v>
      </c>
      <c r="P5" s="17" t="s">
        <v>176</v>
      </c>
      <c r="Q5" s="44">
        <v>45396</v>
      </c>
      <c r="R5" s="17" t="str">
        <f ca="1">IF(AND(K5&gt;=100000,O5="High"),"Premium Customer",IF(AND(I5&gt;=12,K5&gt;=50000),"Loyal Customer",IF(AND(P5="High",J5&lt;1500),"Bargain Seeker",IF(AND(TODAY()-Q5&gt;180,I5&lt;5),"At Risk","General Customer"))))</f>
        <v>General Customer</v>
      </c>
    </row>
    <row r="6" spans="1:18" ht="15" customHeight="1" x14ac:dyDescent="0.2">
      <c r="A6" s="19" t="s">
        <v>269</v>
      </c>
      <c r="B6" s="37">
        <v>64</v>
      </c>
      <c r="C6" s="19" t="s">
        <v>270</v>
      </c>
      <c r="D6" s="37" t="s">
        <v>271</v>
      </c>
      <c r="E6" s="19" t="s">
        <v>100</v>
      </c>
      <c r="F6" s="19" t="s">
        <v>176</v>
      </c>
      <c r="G6" s="38">
        <v>66361</v>
      </c>
      <c r="H6" s="19" t="s">
        <v>264</v>
      </c>
      <c r="I6" s="37">
        <v>13</v>
      </c>
      <c r="J6" s="39">
        <v>906.76</v>
      </c>
      <c r="K6" s="39">
        <v>11787.88</v>
      </c>
      <c r="L6" s="19" t="s">
        <v>115</v>
      </c>
      <c r="M6" s="19" t="s">
        <v>113</v>
      </c>
      <c r="N6" s="19" t="s">
        <v>116</v>
      </c>
      <c r="O6" s="19" t="s">
        <v>195</v>
      </c>
      <c r="P6" s="19" t="s">
        <v>195</v>
      </c>
      <c r="Q6" s="40">
        <v>45662</v>
      </c>
      <c r="R6" s="19" t="str">
        <f ca="1">IF(AND(K6&gt;=100000,O6="High"),"Premium Customer",IF(AND(I6&gt;=12,K6&gt;=50000),"Loyal Customer",IF(AND(P6="High",J6&lt;1500),"Bargain Seeker",IF(AND(TODAY()-Q6&gt;180,I6&lt;5),"At Risk","General Customer"))))</f>
        <v>General Customer</v>
      </c>
    </row>
    <row r="7" spans="1:18" ht="15" customHeight="1" x14ac:dyDescent="0.2">
      <c r="A7" s="17" t="s">
        <v>272</v>
      </c>
      <c r="B7" s="41">
        <v>24</v>
      </c>
      <c r="C7" s="17" t="s">
        <v>270</v>
      </c>
      <c r="D7" s="41" t="s">
        <v>266</v>
      </c>
      <c r="E7" s="17" t="s">
        <v>98</v>
      </c>
      <c r="F7" s="17" t="s">
        <v>267</v>
      </c>
      <c r="G7" s="42">
        <v>34108</v>
      </c>
      <c r="H7" s="17" t="s">
        <v>273</v>
      </c>
      <c r="I7" s="41">
        <v>21</v>
      </c>
      <c r="J7" s="43">
        <v>6722.65</v>
      </c>
      <c r="K7" s="43">
        <v>141175.65</v>
      </c>
      <c r="L7" s="17" t="s">
        <v>115</v>
      </c>
      <c r="M7" s="17" t="s">
        <v>113</v>
      </c>
      <c r="N7" s="17" t="s">
        <v>114</v>
      </c>
      <c r="O7" s="17" t="s">
        <v>190</v>
      </c>
      <c r="P7" s="17" t="s">
        <v>195</v>
      </c>
      <c r="Q7" s="44">
        <v>45978</v>
      </c>
      <c r="R7" s="17" t="str">
        <f ca="1">IF(AND(K7&gt;=100000,O7="High"),"Premium Customer",IF(AND(I7&gt;=12,K7&gt;=50000),"Loyal Customer",IF(AND(P7="High",J7&lt;1500),"Bargain Seeker",IF(AND(TODAY()-Q7&gt;180,I7&lt;5),"At Risk","General Customer"))))</f>
        <v>Loyal Customer</v>
      </c>
    </row>
    <row r="8" spans="1:18" ht="15" customHeight="1" x14ac:dyDescent="0.2">
      <c r="A8" s="19" t="s">
        <v>274</v>
      </c>
      <c r="B8" s="37">
        <v>42</v>
      </c>
      <c r="C8" s="19" t="s">
        <v>262</v>
      </c>
      <c r="D8" s="37" t="s">
        <v>275</v>
      </c>
      <c r="E8" s="19" t="s">
        <v>97</v>
      </c>
      <c r="F8" s="19" t="s">
        <v>176</v>
      </c>
      <c r="G8" s="38">
        <v>78785</v>
      </c>
      <c r="H8" s="19" t="s">
        <v>276</v>
      </c>
      <c r="I8" s="37">
        <v>22</v>
      </c>
      <c r="J8" s="39">
        <v>2796.98</v>
      </c>
      <c r="K8" s="39">
        <v>61533.56</v>
      </c>
      <c r="L8" s="19" t="s">
        <v>122</v>
      </c>
      <c r="M8" s="19" t="s">
        <v>118</v>
      </c>
      <c r="N8" s="19" t="s">
        <v>116</v>
      </c>
      <c r="O8" s="19" t="s">
        <v>176</v>
      </c>
      <c r="P8" s="19" t="s">
        <v>190</v>
      </c>
      <c r="Q8" s="40">
        <v>45324</v>
      </c>
      <c r="R8" s="19" t="str">
        <f ca="1">IF(AND(K8&gt;=100000,O8="High"),"Premium Customer",IF(AND(I8&gt;=12,K8&gt;=50000),"Loyal Customer",IF(AND(P8="High",J8&lt;1500),"Bargain Seeker",IF(AND(TODAY()-Q8&gt;180,I8&lt;5),"At Risk","General Customer"))))</f>
        <v>Loyal Customer</v>
      </c>
    </row>
    <row r="9" spans="1:18" ht="15" customHeight="1" x14ac:dyDescent="0.2">
      <c r="A9" s="17" t="s">
        <v>277</v>
      </c>
      <c r="B9" s="41">
        <v>38</v>
      </c>
      <c r="C9" s="17" t="s">
        <v>270</v>
      </c>
      <c r="D9" s="41" t="s">
        <v>263</v>
      </c>
      <c r="E9" s="17" t="s">
        <v>97</v>
      </c>
      <c r="F9" s="17" t="s">
        <v>190</v>
      </c>
      <c r="G9" s="42">
        <v>13483</v>
      </c>
      <c r="H9" s="17" t="s">
        <v>268</v>
      </c>
      <c r="I9" s="41">
        <v>13</v>
      </c>
      <c r="J9" s="43">
        <v>7112.06</v>
      </c>
      <c r="K9" s="43">
        <v>92456.78</v>
      </c>
      <c r="L9" s="17" t="s">
        <v>120</v>
      </c>
      <c r="M9" s="17" t="s">
        <v>118</v>
      </c>
      <c r="N9" s="17" t="s">
        <v>114</v>
      </c>
      <c r="O9" s="17" t="s">
        <v>195</v>
      </c>
      <c r="P9" s="17" t="s">
        <v>190</v>
      </c>
      <c r="Q9" s="44">
        <v>45434</v>
      </c>
      <c r="R9" s="17" t="str">
        <f ca="1">IF(AND(K9&gt;=100000,O9="High"),"Premium Customer",IF(AND(I9&gt;=12,K9&gt;=50000),"Loyal Customer",IF(AND(P9="High",J9&lt;1500),"Bargain Seeker",IF(AND(TODAY()-Q9&gt;180,I9&lt;5),"At Risk","General Customer"))))</f>
        <v>Loyal Customer</v>
      </c>
    </row>
    <row r="10" spans="1:18" ht="15" customHeight="1" x14ac:dyDescent="0.2">
      <c r="A10" s="19" t="s">
        <v>278</v>
      </c>
      <c r="B10" s="37">
        <v>26</v>
      </c>
      <c r="C10" s="19" t="s">
        <v>262</v>
      </c>
      <c r="D10" s="37" t="s">
        <v>279</v>
      </c>
      <c r="E10" s="19" t="s">
        <v>97</v>
      </c>
      <c r="F10" s="19" t="s">
        <v>267</v>
      </c>
      <c r="G10" s="38">
        <v>41171</v>
      </c>
      <c r="H10" s="19" t="s">
        <v>264</v>
      </c>
      <c r="I10" s="37">
        <v>2</v>
      </c>
      <c r="J10" s="39">
        <v>6930.49</v>
      </c>
      <c r="K10" s="39">
        <v>13860.98</v>
      </c>
      <c r="L10" s="19" t="s">
        <v>115</v>
      </c>
      <c r="M10" s="19" t="s">
        <v>118</v>
      </c>
      <c r="N10" s="19" t="s">
        <v>116</v>
      </c>
      <c r="O10" s="19" t="s">
        <v>190</v>
      </c>
      <c r="P10" s="19" t="s">
        <v>190</v>
      </c>
      <c r="Q10" s="40">
        <v>45988</v>
      </c>
      <c r="R10" s="19" t="str">
        <f ca="1">IF(AND(K10&gt;=100000,O10="High"),"Premium Customer",IF(AND(I10&gt;=12,K10&gt;=50000),"Loyal Customer",IF(AND(P10="High",J10&lt;1500),"Bargain Seeker",IF(AND(TODAY()-Q10&gt;180,I10&lt;5),"At Risk","General Customer"))))</f>
        <v>General Customer</v>
      </c>
    </row>
    <row r="11" spans="1:18" ht="15" customHeight="1" x14ac:dyDescent="0.2">
      <c r="A11" s="17" t="s">
        <v>280</v>
      </c>
      <c r="B11" s="41">
        <v>53</v>
      </c>
      <c r="C11" s="17" t="s">
        <v>270</v>
      </c>
      <c r="D11" s="41" t="s">
        <v>281</v>
      </c>
      <c r="E11" s="17" t="s">
        <v>99</v>
      </c>
      <c r="F11" s="17" t="s">
        <v>176</v>
      </c>
      <c r="G11" s="42">
        <v>65014</v>
      </c>
      <c r="H11" s="17" t="s">
        <v>282</v>
      </c>
      <c r="I11" s="41">
        <v>22</v>
      </c>
      <c r="J11" s="43">
        <v>7112.87</v>
      </c>
      <c r="K11" s="43">
        <v>156483.14000000001</v>
      </c>
      <c r="L11" s="17" t="s">
        <v>122</v>
      </c>
      <c r="M11" s="17" t="s">
        <v>113</v>
      </c>
      <c r="N11" s="17" t="s">
        <v>114</v>
      </c>
      <c r="O11" s="17" t="s">
        <v>176</v>
      </c>
      <c r="P11" s="17" t="s">
        <v>176</v>
      </c>
      <c r="Q11" s="44">
        <v>45640</v>
      </c>
      <c r="R11" s="17" t="str">
        <f ca="1">IF(AND(K11&gt;=100000,O11="High"),"Premium Customer",IF(AND(I11&gt;=12,K11&gt;=50000),"Loyal Customer",IF(AND(P11="High",J11&lt;1500),"Bargain Seeker",IF(AND(TODAY()-Q11&gt;180,I11&lt;5),"At Risk","General Customer"))))</f>
        <v>Premium Customer</v>
      </c>
    </row>
    <row r="12" spans="1:18" ht="15" customHeight="1" x14ac:dyDescent="0.2">
      <c r="A12" s="19" t="s">
        <v>283</v>
      </c>
      <c r="B12" s="37">
        <v>29</v>
      </c>
      <c r="C12" s="19" t="s">
        <v>284</v>
      </c>
      <c r="D12" s="37" t="s">
        <v>285</v>
      </c>
      <c r="E12" s="19" t="s">
        <v>100</v>
      </c>
      <c r="F12" s="19" t="s">
        <v>190</v>
      </c>
      <c r="G12" s="38">
        <v>18317</v>
      </c>
      <c r="H12" s="19" t="s">
        <v>264</v>
      </c>
      <c r="I12" s="37">
        <v>21</v>
      </c>
      <c r="J12" s="39">
        <v>4209</v>
      </c>
      <c r="K12" s="39">
        <v>88389</v>
      </c>
      <c r="L12" s="19" t="s">
        <v>112</v>
      </c>
      <c r="M12" s="19" t="s">
        <v>118</v>
      </c>
      <c r="N12" s="19" t="s">
        <v>116</v>
      </c>
      <c r="O12" s="19" t="s">
        <v>190</v>
      </c>
      <c r="P12" s="19" t="s">
        <v>195</v>
      </c>
      <c r="Q12" s="40">
        <v>45457</v>
      </c>
      <c r="R12" s="19" t="str">
        <f ca="1">IF(AND(K12&gt;=100000,O12="High"),"Premium Customer",IF(AND(I12&gt;=12,K12&gt;=50000),"Loyal Customer",IF(AND(P12="High",J12&lt;1500),"Bargain Seeker",IF(AND(TODAY()-Q12&gt;180,I12&lt;5),"At Risk","General Customer"))))</f>
        <v>Loyal Customer</v>
      </c>
    </row>
    <row r="13" spans="1:18" ht="15" customHeight="1" x14ac:dyDescent="0.2">
      <c r="A13" s="17" t="s">
        <v>286</v>
      </c>
      <c r="B13" s="41">
        <v>37</v>
      </c>
      <c r="C13" s="17" t="s">
        <v>270</v>
      </c>
      <c r="D13" s="41" t="s">
        <v>285</v>
      </c>
      <c r="E13" s="17" t="s">
        <v>100</v>
      </c>
      <c r="F13" s="17" t="s">
        <v>190</v>
      </c>
      <c r="G13" s="42">
        <v>13923</v>
      </c>
      <c r="H13" s="17" t="s">
        <v>273</v>
      </c>
      <c r="I13" s="41">
        <v>19</v>
      </c>
      <c r="J13" s="43">
        <v>7591.51</v>
      </c>
      <c r="K13" s="43">
        <v>144238.69</v>
      </c>
      <c r="L13" s="17" t="s">
        <v>117</v>
      </c>
      <c r="M13" s="17" t="s">
        <v>113</v>
      </c>
      <c r="N13" s="17" t="s">
        <v>116</v>
      </c>
      <c r="O13" s="17" t="s">
        <v>190</v>
      </c>
      <c r="P13" s="17" t="s">
        <v>195</v>
      </c>
      <c r="Q13" s="44">
        <v>45362</v>
      </c>
      <c r="R13" s="17" t="str">
        <f ca="1">IF(AND(K13&gt;=100000,O13="High"),"Premium Customer",IF(AND(I13&gt;=12,K13&gt;=50000),"Loyal Customer",IF(AND(P13="High",J13&lt;1500),"Bargain Seeker",IF(AND(TODAY()-Q13&gt;180,I13&lt;5),"At Risk","General Customer"))))</f>
        <v>Loyal Customer</v>
      </c>
    </row>
    <row r="14" spans="1:18" ht="15" customHeight="1" x14ac:dyDescent="0.2">
      <c r="A14" s="19" t="s">
        <v>287</v>
      </c>
      <c r="B14" s="37">
        <v>56</v>
      </c>
      <c r="C14" s="19" t="s">
        <v>262</v>
      </c>
      <c r="D14" s="37" t="s">
        <v>285</v>
      </c>
      <c r="E14" s="19" t="s">
        <v>100</v>
      </c>
      <c r="F14" s="19" t="s">
        <v>176</v>
      </c>
      <c r="G14" s="38">
        <v>76365</v>
      </c>
      <c r="H14" s="19" t="s">
        <v>276</v>
      </c>
      <c r="I14" s="37">
        <v>23</v>
      </c>
      <c r="J14" s="39">
        <v>2700.22</v>
      </c>
      <c r="K14" s="39">
        <v>62105.06</v>
      </c>
      <c r="L14" s="19" t="s">
        <v>123</v>
      </c>
      <c r="M14" s="19" t="s">
        <v>113</v>
      </c>
      <c r="N14" s="19" t="s">
        <v>116</v>
      </c>
      <c r="O14" s="19" t="s">
        <v>176</v>
      </c>
      <c r="P14" s="19" t="s">
        <v>195</v>
      </c>
      <c r="Q14" s="40">
        <v>45740</v>
      </c>
      <c r="R14" s="19" t="str">
        <f ca="1">IF(AND(K14&gt;=100000,O14="High"),"Premium Customer",IF(AND(I14&gt;=12,K14&gt;=50000),"Loyal Customer",IF(AND(P14="High",J14&lt;1500),"Bargain Seeker",IF(AND(TODAY()-Q14&gt;180,I14&lt;5),"At Risk","General Customer"))))</f>
        <v>Loyal Customer</v>
      </c>
    </row>
    <row r="15" spans="1:18" ht="15" customHeight="1" x14ac:dyDescent="0.2">
      <c r="A15" s="17" t="s">
        <v>288</v>
      </c>
      <c r="B15" s="41">
        <v>55</v>
      </c>
      <c r="C15" s="17" t="s">
        <v>262</v>
      </c>
      <c r="D15" s="41" t="s">
        <v>266</v>
      </c>
      <c r="E15" s="17" t="s">
        <v>98</v>
      </c>
      <c r="F15" s="17" t="s">
        <v>190</v>
      </c>
      <c r="G15" s="42">
        <v>19075</v>
      </c>
      <c r="H15" s="17" t="s">
        <v>273</v>
      </c>
      <c r="I15" s="41">
        <v>1</v>
      </c>
      <c r="J15" s="43">
        <v>846.65</v>
      </c>
      <c r="K15" s="43">
        <v>846.65</v>
      </c>
      <c r="L15" s="17" t="s">
        <v>115</v>
      </c>
      <c r="M15" s="17" t="s">
        <v>113</v>
      </c>
      <c r="N15" s="17" t="s">
        <v>116</v>
      </c>
      <c r="O15" s="17" t="s">
        <v>195</v>
      </c>
      <c r="P15" s="17" t="s">
        <v>190</v>
      </c>
      <c r="Q15" s="44">
        <v>45324</v>
      </c>
      <c r="R15" s="17" t="str">
        <f ca="1">IF(AND(K15&gt;=100000,O15="High"),"Premium Customer",IF(AND(I15&gt;=12,K15&gt;=50000),"Loyal Customer",IF(AND(P15="High",J15&lt;1500),"Bargain Seeker",IF(AND(TODAY()-Q15&gt;180,I15&lt;5),"At Risk","General Customer"))))</f>
        <v>At Risk</v>
      </c>
    </row>
    <row r="16" spans="1:18" ht="15" customHeight="1" x14ac:dyDescent="0.2">
      <c r="A16" s="19" t="s">
        <v>289</v>
      </c>
      <c r="B16" s="37">
        <v>26</v>
      </c>
      <c r="C16" s="19" t="s">
        <v>262</v>
      </c>
      <c r="D16" s="37" t="s">
        <v>290</v>
      </c>
      <c r="E16" s="19" t="s">
        <v>98</v>
      </c>
      <c r="F16" s="19" t="s">
        <v>176</v>
      </c>
      <c r="G16" s="38">
        <v>111953</v>
      </c>
      <c r="H16" s="19" t="s">
        <v>282</v>
      </c>
      <c r="I16" s="37">
        <v>8</v>
      </c>
      <c r="J16" s="39">
        <v>6341.57</v>
      </c>
      <c r="K16" s="39">
        <v>50732.56</v>
      </c>
      <c r="L16" s="19" t="s">
        <v>121</v>
      </c>
      <c r="M16" s="19" t="s">
        <v>118</v>
      </c>
      <c r="N16" s="19" t="s">
        <v>116</v>
      </c>
      <c r="O16" s="19" t="s">
        <v>176</v>
      </c>
      <c r="P16" s="19" t="s">
        <v>190</v>
      </c>
      <c r="Q16" s="40">
        <v>45391</v>
      </c>
      <c r="R16" s="19" t="str">
        <f ca="1">IF(AND(K16&gt;=100000,O16="High"),"Premium Customer",IF(AND(I16&gt;=12,K16&gt;=50000),"Loyal Customer",IF(AND(P16="High",J16&lt;1500),"Bargain Seeker",IF(AND(TODAY()-Q16&gt;180,I16&lt;5),"At Risk","General Customer"))))</f>
        <v>General Customer</v>
      </c>
    </row>
    <row r="17" spans="1:18" ht="15" customHeight="1" x14ac:dyDescent="0.2">
      <c r="A17" s="17" t="s">
        <v>291</v>
      </c>
      <c r="B17" s="41">
        <v>59</v>
      </c>
      <c r="C17" s="17" t="s">
        <v>270</v>
      </c>
      <c r="D17" s="41" t="s">
        <v>281</v>
      </c>
      <c r="E17" s="17" t="s">
        <v>99</v>
      </c>
      <c r="F17" s="17" t="s">
        <v>267</v>
      </c>
      <c r="G17" s="42">
        <v>26986</v>
      </c>
      <c r="H17" s="17" t="s">
        <v>273</v>
      </c>
      <c r="I17" s="41">
        <v>24</v>
      </c>
      <c r="J17" s="43">
        <v>2912.63</v>
      </c>
      <c r="K17" s="43">
        <v>69903.12</v>
      </c>
      <c r="L17" s="17" t="s">
        <v>117</v>
      </c>
      <c r="M17" s="17" t="s">
        <v>118</v>
      </c>
      <c r="N17" s="17" t="s">
        <v>116</v>
      </c>
      <c r="O17" s="17" t="s">
        <v>176</v>
      </c>
      <c r="P17" s="17" t="s">
        <v>190</v>
      </c>
      <c r="Q17" s="44">
        <v>45486</v>
      </c>
      <c r="R17" s="17" t="str">
        <f ca="1">IF(AND(K17&gt;=100000,O17="High"),"Premium Customer",IF(AND(I17&gt;=12,K17&gt;=50000),"Loyal Customer",IF(AND(P17="High",J17&lt;1500),"Bargain Seeker",IF(AND(TODAY()-Q17&gt;180,I17&lt;5),"At Risk","General Customer"))))</f>
        <v>Loyal Customer</v>
      </c>
    </row>
    <row r="18" spans="1:18" ht="15" customHeight="1" x14ac:dyDescent="0.2">
      <c r="A18" s="19" t="s">
        <v>292</v>
      </c>
      <c r="B18" s="37">
        <v>22</v>
      </c>
      <c r="C18" s="19" t="s">
        <v>262</v>
      </c>
      <c r="D18" s="37" t="s">
        <v>293</v>
      </c>
      <c r="E18" s="19" t="s">
        <v>98</v>
      </c>
      <c r="F18" s="19" t="s">
        <v>267</v>
      </c>
      <c r="G18" s="38">
        <v>43033</v>
      </c>
      <c r="H18" s="19" t="s">
        <v>282</v>
      </c>
      <c r="I18" s="37">
        <v>2</v>
      </c>
      <c r="J18" s="39">
        <v>5321.52</v>
      </c>
      <c r="K18" s="39">
        <v>10643.04</v>
      </c>
      <c r="L18" s="19" t="s">
        <v>119</v>
      </c>
      <c r="M18" s="19" t="s">
        <v>113</v>
      </c>
      <c r="N18" s="19" t="s">
        <v>116</v>
      </c>
      <c r="O18" s="19" t="s">
        <v>195</v>
      </c>
      <c r="P18" s="19" t="s">
        <v>190</v>
      </c>
      <c r="Q18" s="40">
        <v>45387</v>
      </c>
      <c r="R18" s="19" t="str">
        <f ca="1">IF(AND(K18&gt;=100000,O18="High"),"Premium Customer",IF(AND(I18&gt;=12,K18&gt;=50000),"Loyal Customer",IF(AND(P18="High",J18&lt;1500),"Bargain Seeker",IF(AND(TODAY()-Q18&gt;180,I18&lt;5),"At Risk","General Customer"))))</f>
        <v>At Risk</v>
      </c>
    </row>
    <row r="19" spans="1:18" ht="15" customHeight="1" x14ac:dyDescent="0.2">
      <c r="A19" s="17" t="s">
        <v>294</v>
      </c>
      <c r="B19" s="41">
        <v>43</v>
      </c>
      <c r="C19" s="17" t="s">
        <v>262</v>
      </c>
      <c r="D19" s="41" t="s">
        <v>281</v>
      </c>
      <c r="E19" s="17" t="s">
        <v>99</v>
      </c>
      <c r="F19" s="17" t="s">
        <v>267</v>
      </c>
      <c r="G19" s="42">
        <v>26921</v>
      </c>
      <c r="H19" s="17" t="s">
        <v>282</v>
      </c>
      <c r="I19" s="41">
        <v>13</v>
      </c>
      <c r="J19" s="43">
        <v>316.60000000000002</v>
      </c>
      <c r="K19" s="43">
        <v>4115.8</v>
      </c>
      <c r="L19" s="17" t="s">
        <v>123</v>
      </c>
      <c r="M19" s="17" t="s">
        <v>113</v>
      </c>
      <c r="N19" s="17" t="s">
        <v>114</v>
      </c>
      <c r="O19" s="17" t="s">
        <v>195</v>
      </c>
      <c r="P19" s="17" t="s">
        <v>176</v>
      </c>
      <c r="Q19" s="44">
        <v>45757</v>
      </c>
      <c r="R19" s="17" t="str">
        <f ca="1">IF(AND(K19&gt;=100000,O19="High"),"Premium Customer",IF(AND(I19&gt;=12,K19&gt;=50000),"Loyal Customer",IF(AND(P19="High",J19&lt;1500),"Bargain Seeker",IF(AND(TODAY()-Q19&gt;180,I19&lt;5),"At Risk","General Customer"))))</f>
        <v>Bargain Seeker</v>
      </c>
    </row>
    <row r="20" spans="1:18" ht="15" customHeight="1" x14ac:dyDescent="0.2">
      <c r="A20" s="19" t="s">
        <v>295</v>
      </c>
      <c r="B20" s="37">
        <v>55</v>
      </c>
      <c r="C20" s="19" t="s">
        <v>284</v>
      </c>
      <c r="D20" s="37" t="s">
        <v>266</v>
      </c>
      <c r="E20" s="19" t="s">
        <v>98</v>
      </c>
      <c r="F20" s="19" t="s">
        <v>267</v>
      </c>
      <c r="G20" s="38">
        <v>42766</v>
      </c>
      <c r="H20" s="19" t="s">
        <v>276</v>
      </c>
      <c r="I20" s="37">
        <v>24</v>
      </c>
      <c r="J20" s="39">
        <v>2714.76</v>
      </c>
      <c r="K20" s="39">
        <v>65154.239999999998</v>
      </c>
      <c r="L20" s="19" t="s">
        <v>115</v>
      </c>
      <c r="M20" s="19" t="s">
        <v>113</v>
      </c>
      <c r="N20" s="19" t="s">
        <v>114</v>
      </c>
      <c r="O20" s="19" t="s">
        <v>190</v>
      </c>
      <c r="P20" s="19" t="s">
        <v>195</v>
      </c>
      <c r="Q20" s="40">
        <v>45835</v>
      </c>
      <c r="R20" s="19" t="str">
        <f ca="1">IF(AND(K20&gt;=100000,O20="High"),"Premium Customer",IF(AND(I20&gt;=12,K20&gt;=50000),"Loyal Customer",IF(AND(P20="High",J20&lt;1500),"Bargain Seeker",IF(AND(TODAY()-Q20&gt;180,I20&lt;5),"At Risk","General Customer"))))</f>
        <v>Loyal Customer</v>
      </c>
    </row>
    <row r="21" spans="1:18" ht="15" customHeight="1" x14ac:dyDescent="0.2">
      <c r="A21" s="17" t="s">
        <v>296</v>
      </c>
      <c r="B21" s="41">
        <v>33</v>
      </c>
      <c r="C21" s="17" t="s">
        <v>270</v>
      </c>
      <c r="D21" s="41" t="s">
        <v>263</v>
      </c>
      <c r="E21" s="17" t="s">
        <v>97</v>
      </c>
      <c r="F21" s="17" t="s">
        <v>176</v>
      </c>
      <c r="G21" s="42">
        <v>82271</v>
      </c>
      <c r="H21" s="17" t="s">
        <v>273</v>
      </c>
      <c r="I21" s="41">
        <v>19</v>
      </c>
      <c r="J21" s="43">
        <v>4877.8</v>
      </c>
      <c r="K21" s="43">
        <v>92678.2</v>
      </c>
      <c r="L21" s="17" t="s">
        <v>121</v>
      </c>
      <c r="M21" s="17" t="s">
        <v>118</v>
      </c>
      <c r="N21" s="17" t="s">
        <v>116</v>
      </c>
      <c r="O21" s="17" t="s">
        <v>195</v>
      </c>
      <c r="P21" s="17" t="s">
        <v>195</v>
      </c>
      <c r="Q21" s="44">
        <v>45889</v>
      </c>
      <c r="R21" s="17" t="str">
        <f ca="1">IF(AND(K21&gt;=100000,O21="High"),"Premium Customer",IF(AND(I21&gt;=12,K21&gt;=50000),"Loyal Customer",IF(AND(P21="High",J21&lt;1500),"Bargain Seeker",IF(AND(TODAY()-Q21&gt;180,I21&lt;5),"At Risk","General Customer"))))</f>
        <v>Loyal Customer</v>
      </c>
    </row>
    <row r="22" spans="1:18" ht="15" customHeight="1" x14ac:dyDescent="0.2">
      <c r="A22" s="19" t="s">
        <v>297</v>
      </c>
      <c r="B22" s="37">
        <v>43</v>
      </c>
      <c r="C22" s="19" t="s">
        <v>262</v>
      </c>
      <c r="D22" s="37" t="s">
        <v>266</v>
      </c>
      <c r="E22" s="19" t="s">
        <v>98</v>
      </c>
      <c r="F22" s="19" t="s">
        <v>176</v>
      </c>
      <c r="G22" s="38">
        <v>89321</v>
      </c>
      <c r="H22" s="19" t="s">
        <v>264</v>
      </c>
      <c r="I22" s="37">
        <v>15</v>
      </c>
      <c r="J22" s="39">
        <v>2734.56</v>
      </c>
      <c r="K22" s="39">
        <v>41018.400000000001</v>
      </c>
      <c r="L22" s="19" t="s">
        <v>115</v>
      </c>
      <c r="M22" s="19" t="s">
        <v>113</v>
      </c>
      <c r="N22" s="19" t="s">
        <v>116</v>
      </c>
      <c r="O22" s="19" t="s">
        <v>176</v>
      </c>
      <c r="P22" s="19" t="s">
        <v>190</v>
      </c>
      <c r="Q22" s="40">
        <v>45761</v>
      </c>
      <c r="R22" s="19" t="str">
        <f ca="1">IF(AND(K22&gt;=100000,O22="High"),"Premium Customer",IF(AND(I22&gt;=12,K22&gt;=50000),"Loyal Customer",IF(AND(P22="High",J22&lt;1500),"Bargain Seeker",IF(AND(TODAY()-Q22&gt;180,I22&lt;5),"At Risk","General Customer"))))</f>
        <v>General Customer</v>
      </c>
    </row>
    <row r="23" spans="1:18" ht="15" customHeight="1" x14ac:dyDescent="0.2">
      <c r="A23" s="17" t="s">
        <v>298</v>
      </c>
      <c r="B23" s="41">
        <v>40</v>
      </c>
      <c r="C23" s="17" t="s">
        <v>262</v>
      </c>
      <c r="D23" s="41" t="s">
        <v>275</v>
      </c>
      <c r="E23" s="17" t="s">
        <v>97</v>
      </c>
      <c r="F23" s="17" t="s">
        <v>190</v>
      </c>
      <c r="G23" s="42">
        <v>24432</v>
      </c>
      <c r="H23" s="17" t="s">
        <v>268</v>
      </c>
      <c r="I23" s="41">
        <v>12</v>
      </c>
      <c r="J23" s="43">
        <v>2494.4</v>
      </c>
      <c r="K23" s="43">
        <v>29932.799999999999</v>
      </c>
      <c r="L23" s="17" t="s">
        <v>112</v>
      </c>
      <c r="M23" s="17" t="s">
        <v>118</v>
      </c>
      <c r="N23" s="17" t="s">
        <v>116</v>
      </c>
      <c r="O23" s="17" t="s">
        <v>195</v>
      </c>
      <c r="P23" s="17" t="s">
        <v>195</v>
      </c>
      <c r="Q23" s="44">
        <v>45601</v>
      </c>
      <c r="R23" s="17" t="str">
        <f ca="1">IF(AND(K23&gt;=100000,O23="High"),"Premium Customer",IF(AND(I23&gt;=12,K23&gt;=50000),"Loyal Customer",IF(AND(P23="High",J23&lt;1500),"Bargain Seeker",IF(AND(TODAY()-Q23&gt;180,I23&lt;5),"At Risk","General Customer"))))</f>
        <v>General Customer</v>
      </c>
    </row>
    <row r="24" spans="1:18" ht="15" customHeight="1" x14ac:dyDescent="0.2">
      <c r="A24" s="19" t="s">
        <v>299</v>
      </c>
      <c r="B24" s="37">
        <v>24</v>
      </c>
      <c r="C24" s="19" t="s">
        <v>262</v>
      </c>
      <c r="D24" s="37" t="s">
        <v>263</v>
      </c>
      <c r="E24" s="19" t="s">
        <v>97</v>
      </c>
      <c r="F24" s="19" t="s">
        <v>190</v>
      </c>
      <c r="G24" s="38">
        <v>22163</v>
      </c>
      <c r="H24" s="19" t="s">
        <v>264</v>
      </c>
      <c r="I24" s="37">
        <v>9</v>
      </c>
      <c r="J24" s="39">
        <v>2469.52</v>
      </c>
      <c r="K24" s="39">
        <v>22225.68</v>
      </c>
      <c r="L24" s="19" t="s">
        <v>120</v>
      </c>
      <c r="M24" s="19" t="s">
        <v>118</v>
      </c>
      <c r="N24" s="19" t="s">
        <v>116</v>
      </c>
      <c r="O24" s="19" t="s">
        <v>190</v>
      </c>
      <c r="P24" s="19" t="s">
        <v>195</v>
      </c>
      <c r="Q24" s="40">
        <v>45995</v>
      </c>
      <c r="R24" s="19" t="str">
        <f ca="1">IF(AND(K24&gt;=100000,O24="High"),"Premium Customer",IF(AND(I24&gt;=12,K24&gt;=50000),"Loyal Customer",IF(AND(P24="High",J24&lt;1500),"Bargain Seeker",IF(AND(TODAY()-Q24&gt;180,I24&lt;5),"At Risk","General Customer"))))</f>
        <v>General Customer</v>
      </c>
    </row>
    <row r="25" spans="1:18" ht="15" customHeight="1" x14ac:dyDescent="0.2">
      <c r="A25" s="17" t="s">
        <v>300</v>
      </c>
      <c r="B25" s="41">
        <v>35</v>
      </c>
      <c r="C25" s="17" t="s">
        <v>270</v>
      </c>
      <c r="D25" s="41" t="s">
        <v>290</v>
      </c>
      <c r="E25" s="17" t="s">
        <v>98</v>
      </c>
      <c r="F25" s="17" t="s">
        <v>190</v>
      </c>
      <c r="G25" s="42">
        <v>10722</v>
      </c>
      <c r="H25" s="17" t="s">
        <v>273</v>
      </c>
      <c r="I25" s="41">
        <v>5</v>
      </c>
      <c r="J25" s="43">
        <v>5205.7700000000004</v>
      </c>
      <c r="K25" s="43">
        <v>26028.85</v>
      </c>
      <c r="L25" s="17" t="s">
        <v>112</v>
      </c>
      <c r="M25" s="17" t="s">
        <v>113</v>
      </c>
      <c r="N25" s="17" t="s">
        <v>116</v>
      </c>
      <c r="O25" s="17" t="s">
        <v>195</v>
      </c>
      <c r="P25" s="17" t="s">
        <v>176</v>
      </c>
      <c r="Q25" s="44">
        <v>45856</v>
      </c>
      <c r="R25" s="17" t="str">
        <f ca="1">IF(AND(K25&gt;=100000,O25="High"),"Premium Customer",IF(AND(I25&gt;=12,K25&gt;=50000),"Loyal Customer",IF(AND(P25="High",J25&lt;1500),"Bargain Seeker",IF(AND(TODAY()-Q25&gt;180,I25&lt;5),"At Risk","General Customer"))))</f>
        <v>General Customer</v>
      </c>
    </row>
    <row r="26" spans="1:18" ht="15" customHeight="1" x14ac:dyDescent="0.2">
      <c r="A26" s="19" t="s">
        <v>301</v>
      </c>
      <c r="B26" s="37">
        <v>41</v>
      </c>
      <c r="C26" s="19" t="s">
        <v>270</v>
      </c>
      <c r="D26" s="37" t="s">
        <v>263</v>
      </c>
      <c r="E26" s="19" t="s">
        <v>97</v>
      </c>
      <c r="F26" s="19" t="s">
        <v>176</v>
      </c>
      <c r="G26" s="38">
        <v>69410</v>
      </c>
      <c r="H26" s="19" t="s">
        <v>276</v>
      </c>
      <c r="I26" s="37">
        <v>14</v>
      </c>
      <c r="J26" s="39">
        <v>1281.33</v>
      </c>
      <c r="K26" s="39">
        <v>17938.62</v>
      </c>
      <c r="L26" s="19" t="s">
        <v>119</v>
      </c>
      <c r="M26" s="19" t="s">
        <v>113</v>
      </c>
      <c r="N26" s="19" t="s">
        <v>116</v>
      </c>
      <c r="O26" s="19" t="s">
        <v>195</v>
      </c>
      <c r="P26" s="19" t="s">
        <v>176</v>
      </c>
      <c r="Q26" s="40">
        <v>45332</v>
      </c>
      <c r="R26" s="19" t="str">
        <f ca="1">IF(AND(K26&gt;=100000,O26="High"),"Premium Customer",IF(AND(I26&gt;=12,K26&gt;=50000),"Loyal Customer",IF(AND(P26="High",J26&lt;1500),"Bargain Seeker",IF(AND(TODAY()-Q26&gt;180,I26&lt;5),"At Risk","General Customer"))))</f>
        <v>Bargain Seeker</v>
      </c>
    </row>
    <row r="27" spans="1:18" ht="15" customHeight="1" x14ac:dyDescent="0.2">
      <c r="A27" s="17" t="s">
        <v>302</v>
      </c>
      <c r="B27" s="41">
        <v>44</v>
      </c>
      <c r="C27" s="17" t="s">
        <v>270</v>
      </c>
      <c r="D27" s="41" t="s">
        <v>263</v>
      </c>
      <c r="E27" s="17" t="s">
        <v>97</v>
      </c>
      <c r="F27" s="17" t="s">
        <v>267</v>
      </c>
      <c r="G27" s="42">
        <v>49558</v>
      </c>
      <c r="H27" s="17" t="s">
        <v>268</v>
      </c>
      <c r="I27" s="41">
        <v>8</v>
      </c>
      <c r="J27" s="43">
        <v>6957.46</v>
      </c>
      <c r="K27" s="43">
        <v>55659.68</v>
      </c>
      <c r="L27" s="17" t="s">
        <v>121</v>
      </c>
      <c r="M27" s="17" t="s">
        <v>118</v>
      </c>
      <c r="N27" s="17" t="s">
        <v>114</v>
      </c>
      <c r="O27" s="17" t="s">
        <v>176</v>
      </c>
      <c r="P27" s="17" t="s">
        <v>176</v>
      </c>
      <c r="Q27" s="44">
        <v>45714</v>
      </c>
      <c r="R27" s="17" t="str">
        <f ca="1">IF(AND(K27&gt;=100000,O27="High"),"Premium Customer",IF(AND(I27&gt;=12,K27&gt;=50000),"Loyal Customer",IF(AND(P27="High",J27&lt;1500),"Bargain Seeker",IF(AND(TODAY()-Q27&gt;180,I27&lt;5),"At Risk","General Customer"))))</f>
        <v>General Customer</v>
      </c>
    </row>
    <row r="28" spans="1:18" ht="15" customHeight="1" x14ac:dyDescent="0.2">
      <c r="A28" s="19" t="s">
        <v>303</v>
      </c>
      <c r="B28" s="37">
        <v>24</v>
      </c>
      <c r="C28" s="19" t="s">
        <v>270</v>
      </c>
      <c r="D28" s="37" t="s">
        <v>266</v>
      </c>
      <c r="E28" s="19" t="s">
        <v>98</v>
      </c>
      <c r="F28" s="19" t="s">
        <v>267</v>
      </c>
      <c r="G28" s="38">
        <v>26268</v>
      </c>
      <c r="H28" s="19" t="s">
        <v>276</v>
      </c>
      <c r="I28" s="37">
        <v>8</v>
      </c>
      <c r="J28" s="39">
        <v>1836.71</v>
      </c>
      <c r="K28" s="39">
        <v>14693.68</v>
      </c>
      <c r="L28" s="19" t="s">
        <v>119</v>
      </c>
      <c r="M28" s="19" t="s">
        <v>118</v>
      </c>
      <c r="N28" s="19" t="s">
        <v>114</v>
      </c>
      <c r="O28" s="19" t="s">
        <v>176</v>
      </c>
      <c r="P28" s="19" t="s">
        <v>195</v>
      </c>
      <c r="Q28" s="40">
        <v>45525</v>
      </c>
      <c r="R28" s="19" t="str">
        <f ca="1">IF(AND(K28&gt;=100000,O28="High"),"Premium Customer",IF(AND(I28&gt;=12,K28&gt;=50000),"Loyal Customer",IF(AND(P28="High",J28&lt;1500),"Bargain Seeker",IF(AND(TODAY()-Q28&gt;180,I28&lt;5),"At Risk","General Customer"))))</f>
        <v>General Customer</v>
      </c>
    </row>
    <row r="29" spans="1:18" ht="15" customHeight="1" x14ac:dyDescent="0.2">
      <c r="A29" s="17" t="s">
        <v>304</v>
      </c>
      <c r="B29" s="41">
        <v>35</v>
      </c>
      <c r="C29" s="17" t="s">
        <v>284</v>
      </c>
      <c r="D29" s="41" t="s">
        <v>271</v>
      </c>
      <c r="E29" s="17" t="s">
        <v>100</v>
      </c>
      <c r="F29" s="17" t="s">
        <v>267</v>
      </c>
      <c r="G29" s="42">
        <v>46020</v>
      </c>
      <c r="H29" s="17" t="s">
        <v>273</v>
      </c>
      <c r="I29" s="41">
        <v>13</v>
      </c>
      <c r="J29" s="43">
        <v>5532.29</v>
      </c>
      <c r="K29" s="43">
        <v>71919.77</v>
      </c>
      <c r="L29" s="17" t="s">
        <v>120</v>
      </c>
      <c r="M29" s="17" t="s">
        <v>113</v>
      </c>
      <c r="N29" s="17" t="s">
        <v>114</v>
      </c>
      <c r="O29" s="17" t="s">
        <v>176</v>
      </c>
      <c r="P29" s="17" t="s">
        <v>195</v>
      </c>
      <c r="Q29" s="44">
        <v>45320</v>
      </c>
      <c r="R29" s="17" t="str">
        <f ca="1">IF(AND(K29&gt;=100000,O29="High"),"Premium Customer",IF(AND(I29&gt;=12,K29&gt;=50000),"Loyal Customer",IF(AND(P29="High",J29&lt;1500),"Bargain Seeker",IF(AND(TODAY()-Q29&gt;180,I29&lt;5),"At Risk","General Customer"))))</f>
        <v>Loyal Customer</v>
      </c>
    </row>
    <row r="30" spans="1:18" ht="15" customHeight="1" x14ac:dyDescent="0.2">
      <c r="A30" s="19" t="s">
        <v>305</v>
      </c>
      <c r="B30" s="37">
        <v>45</v>
      </c>
      <c r="C30" s="19" t="s">
        <v>262</v>
      </c>
      <c r="D30" s="37" t="s">
        <v>279</v>
      </c>
      <c r="E30" s="19" t="s">
        <v>97</v>
      </c>
      <c r="F30" s="19" t="s">
        <v>267</v>
      </c>
      <c r="G30" s="38">
        <v>48872</v>
      </c>
      <c r="H30" s="19" t="s">
        <v>273</v>
      </c>
      <c r="I30" s="37">
        <v>14</v>
      </c>
      <c r="J30" s="39">
        <v>4967.8100000000004</v>
      </c>
      <c r="K30" s="39">
        <v>69549.34</v>
      </c>
      <c r="L30" s="19" t="s">
        <v>112</v>
      </c>
      <c r="M30" s="19" t="s">
        <v>118</v>
      </c>
      <c r="N30" s="19" t="s">
        <v>114</v>
      </c>
      <c r="O30" s="19" t="s">
        <v>195</v>
      </c>
      <c r="P30" s="19" t="s">
        <v>195</v>
      </c>
      <c r="Q30" s="40">
        <v>45882</v>
      </c>
      <c r="R30" s="19" t="str">
        <f ca="1">IF(AND(K30&gt;=100000,O30="High"),"Premium Customer",IF(AND(I30&gt;=12,K30&gt;=50000),"Loyal Customer",IF(AND(P30="High",J30&lt;1500),"Bargain Seeker",IF(AND(TODAY()-Q30&gt;180,I30&lt;5),"At Risk","General Customer"))))</f>
        <v>Loyal Customer</v>
      </c>
    </row>
    <row r="31" spans="1:18" ht="15" customHeight="1" x14ac:dyDescent="0.2">
      <c r="A31" s="17" t="s">
        <v>306</v>
      </c>
      <c r="B31" s="41">
        <v>65</v>
      </c>
      <c r="C31" s="17" t="s">
        <v>270</v>
      </c>
      <c r="D31" s="41" t="s">
        <v>307</v>
      </c>
      <c r="E31" s="17" t="s">
        <v>100</v>
      </c>
      <c r="F31" s="17" t="s">
        <v>176</v>
      </c>
      <c r="G31" s="42">
        <v>75825</v>
      </c>
      <c r="H31" s="17" t="s">
        <v>268</v>
      </c>
      <c r="I31" s="41">
        <v>12</v>
      </c>
      <c r="J31" s="43">
        <v>3620.99</v>
      </c>
      <c r="K31" s="43">
        <v>43451.88</v>
      </c>
      <c r="L31" s="17" t="s">
        <v>115</v>
      </c>
      <c r="M31" s="17" t="s">
        <v>118</v>
      </c>
      <c r="N31" s="17" t="s">
        <v>114</v>
      </c>
      <c r="O31" s="17" t="s">
        <v>176</v>
      </c>
      <c r="P31" s="17" t="s">
        <v>176</v>
      </c>
      <c r="Q31" s="44">
        <v>45930</v>
      </c>
      <c r="R31" s="17" t="str">
        <f ca="1">IF(AND(K31&gt;=100000,O31="High"),"Premium Customer",IF(AND(I31&gt;=12,K31&gt;=50000),"Loyal Customer",IF(AND(P31="High",J31&lt;1500),"Bargain Seeker",IF(AND(TODAY()-Q31&gt;180,I31&lt;5),"At Risk","General Customer"))))</f>
        <v>General Customer</v>
      </c>
    </row>
    <row r="32" spans="1:18" ht="15" customHeight="1" x14ac:dyDescent="0.2">
      <c r="A32" s="19" t="s">
        <v>308</v>
      </c>
      <c r="B32" s="37">
        <v>62</v>
      </c>
      <c r="C32" s="19" t="s">
        <v>262</v>
      </c>
      <c r="D32" s="37" t="s">
        <v>275</v>
      </c>
      <c r="E32" s="19" t="s">
        <v>97</v>
      </c>
      <c r="F32" s="19" t="s">
        <v>267</v>
      </c>
      <c r="G32" s="38">
        <v>43166</v>
      </c>
      <c r="H32" s="19" t="s">
        <v>282</v>
      </c>
      <c r="I32" s="37">
        <v>7</v>
      </c>
      <c r="J32" s="39">
        <v>3537.44</v>
      </c>
      <c r="K32" s="39">
        <v>24762.080000000002</v>
      </c>
      <c r="L32" s="19" t="s">
        <v>120</v>
      </c>
      <c r="M32" s="19" t="s">
        <v>118</v>
      </c>
      <c r="N32" s="19" t="s">
        <v>116</v>
      </c>
      <c r="O32" s="19" t="s">
        <v>176</v>
      </c>
      <c r="P32" s="19" t="s">
        <v>195</v>
      </c>
      <c r="Q32" s="40">
        <v>45470</v>
      </c>
      <c r="R32" s="19" t="str">
        <f ca="1">IF(AND(K32&gt;=100000,O32="High"),"Premium Customer",IF(AND(I32&gt;=12,K32&gt;=50000),"Loyal Customer",IF(AND(P32="High",J32&lt;1500),"Bargain Seeker",IF(AND(TODAY()-Q32&gt;180,I32&lt;5),"At Risk","General Customer"))))</f>
        <v>General Customer</v>
      </c>
    </row>
    <row r="33" spans="1:18" ht="15" customHeight="1" x14ac:dyDescent="0.2">
      <c r="A33" s="17" t="s">
        <v>309</v>
      </c>
      <c r="B33" s="41">
        <v>45</v>
      </c>
      <c r="C33" s="17" t="s">
        <v>262</v>
      </c>
      <c r="D33" s="41" t="s">
        <v>275</v>
      </c>
      <c r="E33" s="17" t="s">
        <v>97</v>
      </c>
      <c r="F33" s="17" t="s">
        <v>190</v>
      </c>
      <c r="G33" s="42">
        <v>22873</v>
      </c>
      <c r="H33" s="17" t="s">
        <v>264</v>
      </c>
      <c r="I33" s="41">
        <v>15</v>
      </c>
      <c r="J33" s="43">
        <v>3701.75</v>
      </c>
      <c r="K33" s="43">
        <v>55526.25</v>
      </c>
      <c r="L33" s="17" t="s">
        <v>120</v>
      </c>
      <c r="M33" s="17" t="s">
        <v>118</v>
      </c>
      <c r="N33" s="17" t="s">
        <v>116</v>
      </c>
      <c r="O33" s="17" t="s">
        <v>195</v>
      </c>
      <c r="P33" s="17" t="s">
        <v>195</v>
      </c>
      <c r="Q33" s="44">
        <v>45465</v>
      </c>
      <c r="R33" s="17" t="str">
        <f ca="1">IF(AND(K33&gt;=100000,O33="High"),"Premium Customer",IF(AND(I33&gt;=12,K33&gt;=50000),"Loyal Customer",IF(AND(P33="High",J33&lt;1500),"Bargain Seeker",IF(AND(TODAY()-Q33&gt;180,I33&lt;5),"At Risk","General Customer"))))</f>
        <v>Loyal Customer</v>
      </c>
    </row>
    <row r="34" spans="1:18" ht="15" customHeight="1" x14ac:dyDescent="0.2">
      <c r="A34" s="19" t="s">
        <v>310</v>
      </c>
      <c r="B34" s="37">
        <v>30</v>
      </c>
      <c r="C34" s="19" t="s">
        <v>262</v>
      </c>
      <c r="D34" s="37" t="s">
        <v>263</v>
      </c>
      <c r="E34" s="19" t="s">
        <v>97</v>
      </c>
      <c r="F34" s="19" t="s">
        <v>190</v>
      </c>
      <c r="G34" s="38">
        <v>12414</v>
      </c>
      <c r="H34" s="19" t="s">
        <v>264</v>
      </c>
      <c r="I34" s="37">
        <v>8</v>
      </c>
      <c r="J34" s="39">
        <v>7876.31</v>
      </c>
      <c r="K34" s="39">
        <v>63010.48</v>
      </c>
      <c r="L34" s="19" t="s">
        <v>119</v>
      </c>
      <c r="M34" s="19" t="s">
        <v>118</v>
      </c>
      <c r="N34" s="19" t="s">
        <v>116</v>
      </c>
      <c r="O34" s="19" t="s">
        <v>195</v>
      </c>
      <c r="P34" s="19" t="s">
        <v>176</v>
      </c>
      <c r="Q34" s="40">
        <v>45758</v>
      </c>
      <c r="R34" s="19" t="str">
        <f ca="1">IF(AND(K34&gt;=100000,O34="High"),"Premium Customer",IF(AND(I34&gt;=12,K34&gt;=50000),"Loyal Customer",IF(AND(P34="High",J34&lt;1500),"Bargain Seeker",IF(AND(TODAY()-Q34&gt;180,I34&lt;5),"At Risk","General Customer"))))</f>
        <v>General Customer</v>
      </c>
    </row>
    <row r="35" spans="1:18" ht="15" customHeight="1" x14ac:dyDescent="0.2">
      <c r="A35" s="17" t="s">
        <v>311</v>
      </c>
      <c r="B35" s="41">
        <v>62</v>
      </c>
      <c r="C35" s="17" t="s">
        <v>262</v>
      </c>
      <c r="D35" s="41" t="s">
        <v>285</v>
      </c>
      <c r="E35" s="17" t="s">
        <v>100</v>
      </c>
      <c r="F35" s="17" t="s">
        <v>267</v>
      </c>
      <c r="G35" s="42">
        <v>49607</v>
      </c>
      <c r="H35" s="17" t="s">
        <v>276</v>
      </c>
      <c r="I35" s="41">
        <v>14</v>
      </c>
      <c r="J35" s="43">
        <v>1985.08</v>
      </c>
      <c r="K35" s="43">
        <v>27791.119999999999</v>
      </c>
      <c r="L35" s="17" t="s">
        <v>119</v>
      </c>
      <c r="M35" s="17" t="s">
        <v>113</v>
      </c>
      <c r="N35" s="17" t="s">
        <v>114</v>
      </c>
      <c r="O35" s="17" t="s">
        <v>176</v>
      </c>
      <c r="P35" s="17" t="s">
        <v>195</v>
      </c>
      <c r="Q35" s="44">
        <v>45767</v>
      </c>
      <c r="R35" s="17" t="str">
        <f ca="1">IF(AND(K35&gt;=100000,O35="High"),"Premium Customer",IF(AND(I35&gt;=12,K35&gt;=50000),"Loyal Customer",IF(AND(P35="High",J35&lt;1500),"Bargain Seeker",IF(AND(TODAY()-Q35&gt;180,I35&lt;5),"At Risk","General Customer"))))</f>
        <v>General Customer</v>
      </c>
    </row>
    <row r="36" spans="1:18" ht="15" customHeight="1" x14ac:dyDescent="0.2">
      <c r="A36" s="19" t="s">
        <v>312</v>
      </c>
      <c r="B36" s="37">
        <v>53</v>
      </c>
      <c r="C36" s="19" t="s">
        <v>270</v>
      </c>
      <c r="D36" s="37" t="s">
        <v>285</v>
      </c>
      <c r="E36" s="19" t="s">
        <v>100</v>
      </c>
      <c r="F36" s="19" t="s">
        <v>190</v>
      </c>
      <c r="G36" s="38">
        <v>19755</v>
      </c>
      <c r="H36" s="19" t="s">
        <v>282</v>
      </c>
      <c r="I36" s="37">
        <v>20</v>
      </c>
      <c r="J36" s="39">
        <v>6575.55</v>
      </c>
      <c r="K36" s="39">
        <v>131511</v>
      </c>
      <c r="L36" s="19" t="s">
        <v>117</v>
      </c>
      <c r="M36" s="19" t="s">
        <v>118</v>
      </c>
      <c r="N36" s="19" t="s">
        <v>116</v>
      </c>
      <c r="O36" s="19" t="s">
        <v>176</v>
      </c>
      <c r="P36" s="19" t="s">
        <v>195</v>
      </c>
      <c r="Q36" s="40">
        <v>45853</v>
      </c>
      <c r="R36" s="19" t="str">
        <f ca="1">IF(AND(K36&gt;=100000,O36="High"),"Premium Customer",IF(AND(I36&gt;=12,K36&gt;=50000),"Loyal Customer",IF(AND(P36="High",J36&lt;1500),"Bargain Seeker",IF(AND(TODAY()-Q36&gt;180,I36&lt;5),"At Risk","General Customer"))))</f>
        <v>Premium Customer</v>
      </c>
    </row>
    <row r="37" spans="1:18" ht="15" customHeight="1" x14ac:dyDescent="0.2">
      <c r="A37" s="17" t="s">
        <v>313</v>
      </c>
      <c r="B37" s="41">
        <v>35</v>
      </c>
      <c r="C37" s="17" t="s">
        <v>270</v>
      </c>
      <c r="D37" s="41" t="s">
        <v>285</v>
      </c>
      <c r="E37" s="17" t="s">
        <v>100</v>
      </c>
      <c r="F37" s="17" t="s">
        <v>267</v>
      </c>
      <c r="G37" s="42">
        <v>42081</v>
      </c>
      <c r="H37" s="17" t="s">
        <v>276</v>
      </c>
      <c r="I37" s="41">
        <v>21</v>
      </c>
      <c r="J37" s="43">
        <v>2142.19</v>
      </c>
      <c r="K37" s="43">
        <v>44985.99</v>
      </c>
      <c r="L37" s="17" t="s">
        <v>121</v>
      </c>
      <c r="M37" s="17" t="s">
        <v>113</v>
      </c>
      <c r="N37" s="17" t="s">
        <v>114</v>
      </c>
      <c r="O37" s="17" t="s">
        <v>195</v>
      </c>
      <c r="P37" s="17" t="s">
        <v>176</v>
      </c>
      <c r="Q37" s="44">
        <v>45532</v>
      </c>
      <c r="R37" s="17" t="str">
        <f ca="1">IF(AND(K37&gt;=100000,O37="High"),"Premium Customer",IF(AND(I37&gt;=12,K37&gt;=50000),"Loyal Customer",IF(AND(P37="High",J37&lt;1500),"Bargain Seeker",IF(AND(TODAY()-Q37&gt;180,I37&lt;5),"At Risk","General Customer"))))</f>
        <v>General Customer</v>
      </c>
    </row>
    <row r="38" spans="1:18" ht="15" customHeight="1" x14ac:dyDescent="0.2">
      <c r="A38" s="19" t="s">
        <v>314</v>
      </c>
      <c r="B38" s="37">
        <v>27</v>
      </c>
      <c r="C38" s="19" t="s">
        <v>262</v>
      </c>
      <c r="D38" s="37" t="s">
        <v>293</v>
      </c>
      <c r="E38" s="19" t="s">
        <v>98</v>
      </c>
      <c r="F38" s="19" t="s">
        <v>190</v>
      </c>
      <c r="G38" s="38">
        <v>21573</v>
      </c>
      <c r="H38" s="19" t="s">
        <v>276</v>
      </c>
      <c r="I38" s="37">
        <v>14</v>
      </c>
      <c r="J38" s="39">
        <v>3438.52</v>
      </c>
      <c r="K38" s="39">
        <v>48139.28</v>
      </c>
      <c r="L38" s="19" t="s">
        <v>122</v>
      </c>
      <c r="M38" s="19" t="s">
        <v>113</v>
      </c>
      <c r="N38" s="19" t="s">
        <v>116</v>
      </c>
      <c r="O38" s="19" t="s">
        <v>195</v>
      </c>
      <c r="P38" s="19" t="s">
        <v>195</v>
      </c>
      <c r="Q38" s="40">
        <v>45503</v>
      </c>
      <c r="R38" s="19" t="str">
        <f ca="1">IF(AND(K38&gt;=100000,O38="High"),"Premium Customer",IF(AND(I38&gt;=12,K38&gt;=50000),"Loyal Customer",IF(AND(P38="High",J38&lt;1500),"Bargain Seeker",IF(AND(TODAY()-Q38&gt;180,I38&lt;5),"At Risk","General Customer"))))</f>
        <v>General Customer</v>
      </c>
    </row>
    <row r="39" spans="1:18" ht="15" customHeight="1" x14ac:dyDescent="0.2">
      <c r="A39" s="17" t="s">
        <v>315</v>
      </c>
      <c r="B39" s="41">
        <v>40</v>
      </c>
      <c r="C39" s="17" t="s">
        <v>262</v>
      </c>
      <c r="D39" s="41" t="s">
        <v>279</v>
      </c>
      <c r="E39" s="17" t="s">
        <v>97</v>
      </c>
      <c r="F39" s="17" t="s">
        <v>267</v>
      </c>
      <c r="G39" s="42">
        <v>49689</v>
      </c>
      <c r="H39" s="17" t="s">
        <v>282</v>
      </c>
      <c r="I39" s="41">
        <v>14</v>
      </c>
      <c r="J39" s="43">
        <v>4444.3</v>
      </c>
      <c r="K39" s="43">
        <v>62220.2</v>
      </c>
      <c r="L39" s="17" t="s">
        <v>120</v>
      </c>
      <c r="M39" s="17" t="s">
        <v>118</v>
      </c>
      <c r="N39" s="17" t="s">
        <v>116</v>
      </c>
      <c r="O39" s="17" t="s">
        <v>176</v>
      </c>
      <c r="P39" s="17" t="s">
        <v>176</v>
      </c>
      <c r="Q39" s="44">
        <v>45517</v>
      </c>
      <c r="R39" s="17" t="str">
        <f ca="1">IF(AND(K39&gt;=100000,O39="High"),"Premium Customer",IF(AND(I39&gt;=12,K39&gt;=50000),"Loyal Customer",IF(AND(P39="High",J39&lt;1500),"Bargain Seeker",IF(AND(TODAY()-Q39&gt;180,I39&lt;5),"At Risk","General Customer"))))</f>
        <v>Loyal Customer</v>
      </c>
    </row>
    <row r="40" spans="1:18" ht="15" customHeight="1" x14ac:dyDescent="0.2">
      <c r="A40" s="19" t="s">
        <v>316</v>
      </c>
      <c r="B40" s="37">
        <v>61</v>
      </c>
      <c r="C40" s="19" t="s">
        <v>262</v>
      </c>
      <c r="D40" s="37" t="s">
        <v>285</v>
      </c>
      <c r="E40" s="19" t="s">
        <v>100</v>
      </c>
      <c r="F40" s="19" t="s">
        <v>190</v>
      </c>
      <c r="G40" s="38">
        <v>23076</v>
      </c>
      <c r="H40" s="19" t="s">
        <v>282</v>
      </c>
      <c r="I40" s="37">
        <v>15</v>
      </c>
      <c r="J40" s="39">
        <v>7380.47</v>
      </c>
      <c r="K40" s="39">
        <v>110707.05</v>
      </c>
      <c r="L40" s="19" t="s">
        <v>112</v>
      </c>
      <c r="M40" s="19" t="s">
        <v>113</v>
      </c>
      <c r="N40" s="19" t="s">
        <v>116</v>
      </c>
      <c r="O40" s="19" t="s">
        <v>176</v>
      </c>
      <c r="P40" s="19" t="s">
        <v>195</v>
      </c>
      <c r="Q40" s="40">
        <v>45695</v>
      </c>
      <c r="R40" s="19" t="str">
        <f ca="1">IF(AND(K40&gt;=100000,O40="High"),"Premium Customer",IF(AND(I40&gt;=12,K40&gt;=50000),"Loyal Customer",IF(AND(P40="High",J40&lt;1500),"Bargain Seeker",IF(AND(TODAY()-Q40&gt;180,I40&lt;5),"At Risk","General Customer"))))</f>
        <v>Premium Customer</v>
      </c>
    </row>
    <row r="41" spans="1:18" ht="15" customHeight="1" x14ac:dyDescent="0.2">
      <c r="A41" s="17" t="s">
        <v>317</v>
      </c>
      <c r="B41" s="41">
        <v>34</v>
      </c>
      <c r="C41" s="17" t="s">
        <v>262</v>
      </c>
      <c r="D41" s="41" t="s">
        <v>281</v>
      </c>
      <c r="E41" s="17" t="s">
        <v>99</v>
      </c>
      <c r="F41" s="17" t="s">
        <v>190</v>
      </c>
      <c r="G41" s="42">
        <v>16211</v>
      </c>
      <c r="H41" s="17" t="s">
        <v>282</v>
      </c>
      <c r="I41" s="41">
        <v>15</v>
      </c>
      <c r="J41" s="43">
        <v>2816.71</v>
      </c>
      <c r="K41" s="43">
        <v>42250.65</v>
      </c>
      <c r="L41" s="17" t="s">
        <v>115</v>
      </c>
      <c r="M41" s="17" t="s">
        <v>118</v>
      </c>
      <c r="N41" s="17" t="s">
        <v>114</v>
      </c>
      <c r="O41" s="17" t="s">
        <v>176</v>
      </c>
      <c r="P41" s="17" t="s">
        <v>195</v>
      </c>
      <c r="Q41" s="44">
        <v>45723</v>
      </c>
      <c r="R41" s="17" t="str">
        <f ca="1">IF(AND(K41&gt;=100000,O41="High"),"Premium Customer",IF(AND(I41&gt;=12,K41&gt;=50000),"Loyal Customer",IF(AND(P41="High",J41&lt;1500),"Bargain Seeker",IF(AND(TODAY()-Q41&gt;180,I41&lt;5),"At Risk","General Customer"))))</f>
        <v>General Customer</v>
      </c>
    </row>
    <row r="42" spans="1:18" ht="15" customHeight="1" x14ac:dyDescent="0.2">
      <c r="A42" s="19" t="s">
        <v>318</v>
      </c>
      <c r="B42" s="37">
        <v>40</v>
      </c>
      <c r="C42" s="19" t="s">
        <v>262</v>
      </c>
      <c r="D42" s="37" t="s">
        <v>307</v>
      </c>
      <c r="E42" s="19" t="s">
        <v>100</v>
      </c>
      <c r="F42" s="19" t="s">
        <v>176</v>
      </c>
      <c r="G42" s="38">
        <v>58993</v>
      </c>
      <c r="H42" s="19" t="s">
        <v>268</v>
      </c>
      <c r="I42" s="37">
        <v>21</v>
      </c>
      <c r="J42" s="39">
        <v>609.99</v>
      </c>
      <c r="K42" s="39">
        <v>12809.79</v>
      </c>
      <c r="L42" s="19" t="s">
        <v>119</v>
      </c>
      <c r="M42" s="19" t="s">
        <v>113</v>
      </c>
      <c r="N42" s="19" t="s">
        <v>116</v>
      </c>
      <c r="O42" s="19" t="s">
        <v>190</v>
      </c>
      <c r="P42" s="19" t="s">
        <v>190</v>
      </c>
      <c r="Q42" s="40">
        <v>45312</v>
      </c>
      <c r="R42" s="19" t="str">
        <f ca="1">IF(AND(K42&gt;=100000,O42="High"),"Premium Customer",IF(AND(I42&gt;=12,K42&gt;=50000),"Loyal Customer",IF(AND(P42="High",J42&lt;1500),"Bargain Seeker",IF(AND(TODAY()-Q42&gt;180,I42&lt;5),"At Risk","General Customer"))))</f>
        <v>General Customer</v>
      </c>
    </row>
    <row r="43" spans="1:18" ht="15" customHeight="1" x14ac:dyDescent="0.2">
      <c r="A43" s="17" t="s">
        <v>319</v>
      </c>
      <c r="B43" s="41">
        <v>31</v>
      </c>
      <c r="C43" s="17" t="s">
        <v>270</v>
      </c>
      <c r="D43" s="41" t="s">
        <v>285</v>
      </c>
      <c r="E43" s="17" t="s">
        <v>100</v>
      </c>
      <c r="F43" s="17" t="s">
        <v>176</v>
      </c>
      <c r="G43" s="42">
        <v>83586</v>
      </c>
      <c r="H43" s="17" t="s">
        <v>273</v>
      </c>
      <c r="I43" s="41">
        <v>12</v>
      </c>
      <c r="J43" s="43">
        <v>1591.98</v>
      </c>
      <c r="K43" s="43">
        <v>19103.759999999998</v>
      </c>
      <c r="L43" s="17" t="s">
        <v>117</v>
      </c>
      <c r="M43" s="17" t="s">
        <v>118</v>
      </c>
      <c r="N43" s="17" t="s">
        <v>116</v>
      </c>
      <c r="O43" s="17" t="s">
        <v>195</v>
      </c>
      <c r="P43" s="17" t="s">
        <v>176</v>
      </c>
      <c r="Q43" s="44">
        <v>45409</v>
      </c>
      <c r="R43" s="17" t="str">
        <f ca="1">IF(AND(K43&gt;=100000,O43="High"),"Premium Customer",IF(AND(I43&gt;=12,K43&gt;=50000),"Loyal Customer",IF(AND(P43="High",J43&lt;1500),"Bargain Seeker",IF(AND(TODAY()-Q43&gt;180,I43&lt;5),"At Risk","General Customer"))))</f>
        <v>General Customer</v>
      </c>
    </row>
    <row r="44" spans="1:18" ht="15" customHeight="1" x14ac:dyDescent="0.2">
      <c r="A44" s="19" t="s">
        <v>320</v>
      </c>
      <c r="B44" s="37">
        <v>54</v>
      </c>
      <c r="C44" s="19" t="s">
        <v>270</v>
      </c>
      <c r="D44" s="37" t="s">
        <v>263</v>
      </c>
      <c r="E44" s="19" t="s">
        <v>97</v>
      </c>
      <c r="F44" s="19" t="s">
        <v>176</v>
      </c>
      <c r="G44" s="38">
        <v>101990</v>
      </c>
      <c r="H44" s="19" t="s">
        <v>273</v>
      </c>
      <c r="I44" s="37">
        <v>23</v>
      </c>
      <c r="J44" s="39">
        <v>1827.14</v>
      </c>
      <c r="K44" s="39">
        <v>42024.22</v>
      </c>
      <c r="L44" s="19" t="s">
        <v>120</v>
      </c>
      <c r="M44" s="19" t="s">
        <v>113</v>
      </c>
      <c r="N44" s="19" t="s">
        <v>114</v>
      </c>
      <c r="O44" s="19" t="s">
        <v>195</v>
      </c>
      <c r="P44" s="19" t="s">
        <v>176</v>
      </c>
      <c r="Q44" s="40">
        <v>45540</v>
      </c>
      <c r="R44" s="19" t="str">
        <f ca="1">IF(AND(K44&gt;=100000,O44="High"),"Premium Customer",IF(AND(I44&gt;=12,K44&gt;=50000),"Loyal Customer",IF(AND(P44="High",J44&lt;1500),"Bargain Seeker",IF(AND(TODAY()-Q44&gt;180,I44&lt;5),"At Risk","General Customer"))))</f>
        <v>General Customer</v>
      </c>
    </row>
    <row r="45" spans="1:18" ht="15" customHeight="1" x14ac:dyDescent="0.2">
      <c r="A45" s="17" t="s">
        <v>321</v>
      </c>
      <c r="B45" s="41">
        <v>60</v>
      </c>
      <c r="C45" s="17" t="s">
        <v>270</v>
      </c>
      <c r="D45" s="41" t="s">
        <v>279</v>
      </c>
      <c r="E45" s="17" t="s">
        <v>97</v>
      </c>
      <c r="F45" s="17" t="s">
        <v>190</v>
      </c>
      <c r="G45" s="42">
        <v>16071</v>
      </c>
      <c r="H45" s="17" t="s">
        <v>264</v>
      </c>
      <c r="I45" s="41">
        <v>21</v>
      </c>
      <c r="J45" s="43">
        <v>2927.48</v>
      </c>
      <c r="K45" s="43">
        <v>61477.08</v>
      </c>
      <c r="L45" s="17" t="s">
        <v>121</v>
      </c>
      <c r="M45" s="17" t="s">
        <v>118</v>
      </c>
      <c r="N45" s="17" t="s">
        <v>116</v>
      </c>
      <c r="O45" s="17" t="s">
        <v>176</v>
      </c>
      <c r="P45" s="17" t="s">
        <v>176</v>
      </c>
      <c r="Q45" s="44">
        <v>45400</v>
      </c>
      <c r="R45" s="17" t="str">
        <f ca="1">IF(AND(K45&gt;=100000,O45="High"),"Premium Customer",IF(AND(I45&gt;=12,K45&gt;=50000),"Loyal Customer",IF(AND(P45="High",J45&lt;1500),"Bargain Seeker",IF(AND(TODAY()-Q45&gt;180,I45&lt;5),"At Risk","General Customer"))))</f>
        <v>Loyal Customer</v>
      </c>
    </row>
    <row r="46" spans="1:18" ht="15" customHeight="1" x14ac:dyDescent="0.2">
      <c r="A46" s="19" t="s">
        <v>322</v>
      </c>
      <c r="B46" s="37">
        <v>59</v>
      </c>
      <c r="C46" s="19" t="s">
        <v>270</v>
      </c>
      <c r="D46" s="37" t="s">
        <v>293</v>
      </c>
      <c r="E46" s="19" t="s">
        <v>98</v>
      </c>
      <c r="F46" s="19" t="s">
        <v>267</v>
      </c>
      <c r="G46" s="38">
        <v>45182</v>
      </c>
      <c r="H46" s="19" t="s">
        <v>276</v>
      </c>
      <c r="I46" s="37">
        <v>15</v>
      </c>
      <c r="J46" s="39">
        <v>3653.92</v>
      </c>
      <c r="K46" s="39">
        <v>54808.800000000003</v>
      </c>
      <c r="L46" s="19" t="s">
        <v>115</v>
      </c>
      <c r="M46" s="19" t="s">
        <v>118</v>
      </c>
      <c r="N46" s="19" t="s">
        <v>116</v>
      </c>
      <c r="O46" s="19" t="s">
        <v>176</v>
      </c>
      <c r="P46" s="19" t="s">
        <v>190</v>
      </c>
      <c r="Q46" s="40">
        <v>45543</v>
      </c>
      <c r="R46" s="19" t="str">
        <f ca="1">IF(AND(K46&gt;=100000,O46="High"),"Premium Customer",IF(AND(I46&gt;=12,K46&gt;=50000),"Loyal Customer",IF(AND(P46="High",J46&lt;1500),"Bargain Seeker",IF(AND(TODAY()-Q46&gt;180,I46&lt;5),"At Risk","General Customer"))))</f>
        <v>Loyal Customer</v>
      </c>
    </row>
    <row r="47" spans="1:18" ht="15" customHeight="1" x14ac:dyDescent="0.2">
      <c r="A47" s="17" t="s">
        <v>323</v>
      </c>
      <c r="B47" s="41">
        <v>60</v>
      </c>
      <c r="C47" s="17" t="s">
        <v>270</v>
      </c>
      <c r="D47" s="41" t="s">
        <v>285</v>
      </c>
      <c r="E47" s="17" t="s">
        <v>100</v>
      </c>
      <c r="F47" s="17" t="s">
        <v>190</v>
      </c>
      <c r="G47" s="42">
        <v>16209</v>
      </c>
      <c r="H47" s="17" t="s">
        <v>282</v>
      </c>
      <c r="I47" s="41">
        <v>16</v>
      </c>
      <c r="J47" s="43">
        <v>6852.34</v>
      </c>
      <c r="K47" s="43">
        <v>109637.44</v>
      </c>
      <c r="L47" s="17" t="s">
        <v>120</v>
      </c>
      <c r="M47" s="17" t="s">
        <v>113</v>
      </c>
      <c r="N47" s="17" t="s">
        <v>114</v>
      </c>
      <c r="O47" s="17" t="s">
        <v>190</v>
      </c>
      <c r="P47" s="17" t="s">
        <v>190</v>
      </c>
      <c r="Q47" s="44">
        <v>45556</v>
      </c>
      <c r="R47" s="17" t="str">
        <f ca="1">IF(AND(K47&gt;=100000,O47="High"),"Premium Customer",IF(AND(I47&gt;=12,K47&gt;=50000),"Loyal Customer",IF(AND(P47="High",J47&lt;1500),"Bargain Seeker",IF(AND(TODAY()-Q47&gt;180,I47&lt;5),"At Risk","General Customer"))))</f>
        <v>Loyal Customer</v>
      </c>
    </row>
    <row r="48" spans="1:18" ht="15" customHeight="1" x14ac:dyDescent="0.2">
      <c r="A48" s="19" t="s">
        <v>324</v>
      </c>
      <c r="B48" s="37">
        <v>44</v>
      </c>
      <c r="C48" s="19" t="s">
        <v>262</v>
      </c>
      <c r="D48" s="37" t="s">
        <v>275</v>
      </c>
      <c r="E48" s="19" t="s">
        <v>97</v>
      </c>
      <c r="F48" s="19" t="s">
        <v>190</v>
      </c>
      <c r="G48" s="38">
        <v>18004</v>
      </c>
      <c r="H48" s="19" t="s">
        <v>273</v>
      </c>
      <c r="I48" s="37">
        <v>23</v>
      </c>
      <c r="J48" s="39">
        <v>3965.92</v>
      </c>
      <c r="K48" s="39">
        <v>91216.16</v>
      </c>
      <c r="L48" s="19" t="s">
        <v>119</v>
      </c>
      <c r="M48" s="19" t="s">
        <v>118</v>
      </c>
      <c r="N48" s="19" t="s">
        <v>114</v>
      </c>
      <c r="O48" s="19" t="s">
        <v>176</v>
      </c>
      <c r="P48" s="19" t="s">
        <v>195</v>
      </c>
      <c r="Q48" s="40">
        <v>45309</v>
      </c>
      <c r="R48" s="19" t="str">
        <f ca="1">IF(AND(K48&gt;=100000,O48="High"),"Premium Customer",IF(AND(I48&gt;=12,K48&gt;=50000),"Loyal Customer",IF(AND(P48="High",J48&lt;1500),"Bargain Seeker",IF(AND(TODAY()-Q48&gt;180,I48&lt;5),"At Risk","General Customer"))))</f>
        <v>Loyal Customer</v>
      </c>
    </row>
    <row r="49" spans="1:18" ht="15" customHeight="1" x14ac:dyDescent="0.2">
      <c r="A49" s="17" t="s">
        <v>325</v>
      </c>
      <c r="B49" s="41">
        <v>53</v>
      </c>
      <c r="C49" s="17" t="s">
        <v>262</v>
      </c>
      <c r="D49" s="41" t="s">
        <v>266</v>
      </c>
      <c r="E49" s="17" t="s">
        <v>98</v>
      </c>
      <c r="F49" s="17" t="s">
        <v>267</v>
      </c>
      <c r="G49" s="42">
        <v>36264</v>
      </c>
      <c r="H49" s="17" t="s">
        <v>268</v>
      </c>
      <c r="I49" s="41">
        <v>24</v>
      </c>
      <c r="J49" s="43">
        <v>4537.99</v>
      </c>
      <c r="K49" s="43">
        <v>108911.76</v>
      </c>
      <c r="L49" s="17" t="s">
        <v>115</v>
      </c>
      <c r="M49" s="17" t="s">
        <v>113</v>
      </c>
      <c r="N49" s="17" t="s">
        <v>114</v>
      </c>
      <c r="O49" s="17" t="s">
        <v>195</v>
      </c>
      <c r="P49" s="17" t="s">
        <v>195</v>
      </c>
      <c r="Q49" s="44">
        <v>45605</v>
      </c>
      <c r="R49" s="17" t="str">
        <f ca="1">IF(AND(K49&gt;=100000,O49="High"),"Premium Customer",IF(AND(I49&gt;=12,K49&gt;=50000),"Loyal Customer",IF(AND(P49="High",J49&lt;1500),"Bargain Seeker",IF(AND(TODAY()-Q49&gt;180,I49&lt;5),"At Risk","General Customer"))))</f>
        <v>Loyal Customer</v>
      </c>
    </row>
    <row r="50" spans="1:18" ht="15" customHeight="1" x14ac:dyDescent="0.2">
      <c r="A50" s="19" t="s">
        <v>326</v>
      </c>
      <c r="B50" s="37">
        <v>62</v>
      </c>
      <c r="C50" s="19" t="s">
        <v>270</v>
      </c>
      <c r="D50" s="37" t="s">
        <v>271</v>
      </c>
      <c r="E50" s="19" t="s">
        <v>100</v>
      </c>
      <c r="F50" s="19" t="s">
        <v>190</v>
      </c>
      <c r="G50" s="38">
        <v>13033</v>
      </c>
      <c r="H50" s="19" t="s">
        <v>268</v>
      </c>
      <c r="I50" s="37">
        <v>24</v>
      </c>
      <c r="J50" s="39">
        <v>4028.33</v>
      </c>
      <c r="K50" s="39">
        <v>96679.92</v>
      </c>
      <c r="L50" s="19" t="s">
        <v>115</v>
      </c>
      <c r="M50" s="19" t="s">
        <v>113</v>
      </c>
      <c r="N50" s="19" t="s">
        <v>116</v>
      </c>
      <c r="O50" s="19" t="s">
        <v>176</v>
      </c>
      <c r="P50" s="19" t="s">
        <v>176</v>
      </c>
      <c r="Q50" s="40">
        <v>45829</v>
      </c>
      <c r="R50" s="19" t="str">
        <f ca="1">IF(AND(K50&gt;=100000,O50="High"),"Premium Customer",IF(AND(I50&gt;=12,K50&gt;=50000),"Loyal Customer",IF(AND(P50="High",J50&lt;1500),"Bargain Seeker",IF(AND(TODAY()-Q50&gt;180,I50&lt;5),"At Risk","General Customer"))))</f>
        <v>Loyal Customer</v>
      </c>
    </row>
    <row r="51" spans="1:18" ht="15" customHeight="1" x14ac:dyDescent="0.2">
      <c r="A51" s="17" t="s">
        <v>327</v>
      </c>
      <c r="B51" s="41">
        <v>18</v>
      </c>
      <c r="C51" s="17" t="s">
        <v>262</v>
      </c>
      <c r="D51" s="41" t="s">
        <v>290</v>
      </c>
      <c r="E51" s="17" t="s">
        <v>98</v>
      </c>
      <c r="F51" s="17" t="s">
        <v>190</v>
      </c>
      <c r="G51" s="42">
        <v>21600</v>
      </c>
      <c r="H51" s="17" t="s">
        <v>264</v>
      </c>
      <c r="I51" s="41">
        <v>9</v>
      </c>
      <c r="J51" s="43">
        <v>650.47</v>
      </c>
      <c r="K51" s="43">
        <v>5854.23</v>
      </c>
      <c r="L51" s="17" t="s">
        <v>123</v>
      </c>
      <c r="M51" s="17" t="s">
        <v>113</v>
      </c>
      <c r="N51" s="17" t="s">
        <v>116</v>
      </c>
      <c r="O51" s="17" t="s">
        <v>190</v>
      </c>
      <c r="P51" s="17" t="s">
        <v>190</v>
      </c>
      <c r="Q51" s="44">
        <v>45421</v>
      </c>
      <c r="R51" s="17" t="str">
        <f ca="1">IF(AND(K51&gt;=100000,O51="High"),"Premium Customer",IF(AND(I51&gt;=12,K51&gt;=50000),"Loyal Customer",IF(AND(P51="High",J51&lt;1500),"Bargain Seeker",IF(AND(TODAY()-Q51&gt;180,I51&lt;5),"At Risk","General Customer"))))</f>
        <v>General Customer</v>
      </c>
    </row>
    <row r="52" spans="1:18" ht="15" customHeight="1" x14ac:dyDescent="0.2">
      <c r="A52" s="19" t="s">
        <v>328</v>
      </c>
      <c r="B52" s="37">
        <v>46</v>
      </c>
      <c r="C52" s="19" t="s">
        <v>262</v>
      </c>
      <c r="D52" s="37" t="s">
        <v>307</v>
      </c>
      <c r="E52" s="19" t="s">
        <v>100</v>
      </c>
      <c r="F52" s="19" t="s">
        <v>176</v>
      </c>
      <c r="G52" s="38">
        <v>56734</v>
      </c>
      <c r="H52" s="19" t="s">
        <v>264</v>
      </c>
      <c r="I52" s="37">
        <v>9</v>
      </c>
      <c r="J52" s="39">
        <v>7546.19</v>
      </c>
      <c r="K52" s="39">
        <v>67915.710000000006</v>
      </c>
      <c r="L52" s="19" t="s">
        <v>112</v>
      </c>
      <c r="M52" s="19" t="s">
        <v>113</v>
      </c>
      <c r="N52" s="19" t="s">
        <v>116</v>
      </c>
      <c r="O52" s="19" t="s">
        <v>195</v>
      </c>
      <c r="P52" s="19" t="s">
        <v>176</v>
      </c>
      <c r="Q52" s="40">
        <v>45702</v>
      </c>
      <c r="R52" s="19" t="str">
        <f ca="1">IF(AND(K52&gt;=100000,O52="High"),"Premium Customer",IF(AND(I52&gt;=12,K52&gt;=50000),"Loyal Customer",IF(AND(P52="High",J52&lt;1500),"Bargain Seeker",IF(AND(TODAY()-Q52&gt;180,I52&lt;5),"At Risk","General Customer"))))</f>
        <v>General Customer</v>
      </c>
    </row>
    <row r="53" spans="1:18" ht="15" customHeight="1" x14ac:dyDescent="0.2">
      <c r="A53" s="17" t="s">
        <v>329</v>
      </c>
      <c r="B53" s="41">
        <v>33</v>
      </c>
      <c r="C53" s="17" t="s">
        <v>262</v>
      </c>
      <c r="D53" s="41" t="s">
        <v>293</v>
      </c>
      <c r="E53" s="17" t="s">
        <v>98</v>
      </c>
      <c r="F53" s="17" t="s">
        <v>176</v>
      </c>
      <c r="G53" s="42">
        <v>104548</v>
      </c>
      <c r="H53" s="17" t="s">
        <v>264</v>
      </c>
      <c r="I53" s="41">
        <v>20</v>
      </c>
      <c r="J53" s="43">
        <v>4890.18</v>
      </c>
      <c r="K53" s="43">
        <v>97803.6</v>
      </c>
      <c r="L53" s="17" t="s">
        <v>123</v>
      </c>
      <c r="M53" s="17" t="s">
        <v>118</v>
      </c>
      <c r="N53" s="17" t="s">
        <v>116</v>
      </c>
      <c r="O53" s="17" t="s">
        <v>195</v>
      </c>
      <c r="P53" s="17" t="s">
        <v>176</v>
      </c>
      <c r="Q53" s="44">
        <v>45681</v>
      </c>
      <c r="R53" s="17" t="str">
        <f ca="1">IF(AND(K53&gt;=100000,O53="High"),"Premium Customer",IF(AND(I53&gt;=12,K53&gt;=50000),"Loyal Customer",IF(AND(P53="High",J53&lt;1500),"Bargain Seeker",IF(AND(TODAY()-Q53&gt;180,I53&lt;5),"At Risk","General Customer"))))</f>
        <v>Loyal Customer</v>
      </c>
    </row>
    <row r="54" spans="1:18" ht="15" customHeight="1" x14ac:dyDescent="0.2">
      <c r="A54" s="19" t="s">
        <v>330</v>
      </c>
      <c r="B54" s="37">
        <v>21</v>
      </c>
      <c r="C54" s="19" t="s">
        <v>270</v>
      </c>
      <c r="D54" s="37" t="s">
        <v>279</v>
      </c>
      <c r="E54" s="19" t="s">
        <v>97</v>
      </c>
      <c r="F54" s="19" t="s">
        <v>267</v>
      </c>
      <c r="G54" s="38">
        <v>49251</v>
      </c>
      <c r="H54" s="19" t="s">
        <v>264</v>
      </c>
      <c r="I54" s="37">
        <v>7</v>
      </c>
      <c r="J54" s="39">
        <v>5116.47</v>
      </c>
      <c r="K54" s="39">
        <v>35815.29</v>
      </c>
      <c r="L54" s="19" t="s">
        <v>115</v>
      </c>
      <c r="M54" s="19" t="s">
        <v>113</v>
      </c>
      <c r="N54" s="19" t="s">
        <v>114</v>
      </c>
      <c r="O54" s="19" t="s">
        <v>195</v>
      </c>
      <c r="P54" s="19" t="s">
        <v>190</v>
      </c>
      <c r="Q54" s="40">
        <v>45537</v>
      </c>
      <c r="R54" s="19" t="str">
        <f ca="1">IF(AND(K54&gt;=100000,O54="High"),"Premium Customer",IF(AND(I54&gt;=12,K54&gt;=50000),"Loyal Customer",IF(AND(P54="High",J54&lt;1500),"Bargain Seeker",IF(AND(TODAY()-Q54&gt;180,I54&lt;5),"At Risk","General Customer"))))</f>
        <v>General Customer</v>
      </c>
    </row>
    <row r="55" spans="1:18" ht="15" customHeight="1" x14ac:dyDescent="0.2">
      <c r="A55" s="17" t="s">
        <v>331</v>
      </c>
      <c r="B55" s="41">
        <v>48</v>
      </c>
      <c r="C55" s="17" t="s">
        <v>270</v>
      </c>
      <c r="D55" s="41" t="s">
        <v>307</v>
      </c>
      <c r="E55" s="17" t="s">
        <v>100</v>
      </c>
      <c r="F55" s="17" t="s">
        <v>267</v>
      </c>
      <c r="G55" s="42">
        <v>26069</v>
      </c>
      <c r="H55" s="17" t="s">
        <v>282</v>
      </c>
      <c r="I55" s="41">
        <v>10</v>
      </c>
      <c r="J55" s="43">
        <v>5743.56</v>
      </c>
      <c r="K55" s="43">
        <v>57435.6</v>
      </c>
      <c r="L55" s="17" t="s">
        <v>120</v>
      </c>
      <c r="M55" s="17" t="s">
        <v>113</v>
      </c>
      <c r="N55" s="17" t="s">
        <v>114</v>
      </c>
      <c r="O55" s="17" t="s">
        <v>176</v>
      </c>
      <c r="P55" s="17" t="s">
        <v>195</v>
      </c>
      <c r="Q55" s="44">
        <v>45995</v>
      </c>
      <c r="R55" s="17" t="str">
        <f ca="1">IF(AND(K55&gt;=100000,O55="High"),"Premium Customer",IF(AND(I55&gt;=12,K55&gt;=50000),"Loyal Customer",IF(AND(P55="High",J55&lt;1500),"Bargain Seeker",IF(AND(TODAY()-Q55&gt;180,I55&lt;5),"At Risk","General Customer"))))</f>
        <v>General Customer</v>
      </c>
    </row>
    <row r="56" spans="1:18" ht="15" customHeight="1" x14ac:dyDescent="0.2">
      <c r="A56" s="19" t="s">
        <v>332</v>
      </c>
      <c r="B56" s="37">
        <v>27</v>
      </c>
      <c r="C56" s="19" t="s">
        <v>262</v>
      </c>
      <c r="D56" s="37" t="s">
        <v>281</v>
      </c>
      <c r="E56" s="19" t="s">
        <v>99</v>
      </c>
      <c r="F56" s="19" t="s">
        <v>190</v>
      </c>
      <c r="G56" s="38">
        <v>24883</v>
      </c>
      <c r="H56" s="19" t="s">
        <v>268</v>
      </c>
      <c r="I56" s="37">
        <v>3</v>
      </c>
      <c r="J56" s="39">
        <v>759.21</v>
      </c>
      <c r="K56" s="39">
        <v>2277.63</v>
      </c>
      <c r="L56" s="19" t="s">
        <v>123</v>
      </c>
      <c r="M56" s="19" t="s">
        <v>113</v>
      </c>
      <c r="N56" s="19" t="s">
        <v>116</v>
      </c>
      <c r="O56" s="19" t="s">
        <v>176</v>
      </c>
      <c r="P56" s="19" t="s">
        <v>195</v>
      </c>
      <c r="Q56" s="40">
        <v>45874</v>
      </c>
      <c r="R56" s="19" t="str">
        <f ca="1">IF(AND(K56&gt;=100000,O56="High"),"Premium Customer",IF(AND(I56&gt;=12,K56&gt;=50000),"Loyal Customer",IF(AND(P56="High",J56&lt;1500),"Bargain Seeker",IF(AND(TODAY()-Q56&gt;180,I56&lt;5),"At Risk","General Customer"))))</f>
        <v>At Risk</v>
      </c>
    </row>
    <row r="57" spans="1:18" ht="15" customHeight="1" x14ac:dyDescent="0.2">
      <c r="A57" s="17" t="s">
        <v>333</v>
      </c>
      <c r="B57" s="41">
        <v>35</v>
      </c>
      <c r="C57" s="17" t="s">
        <v>270</v>
      </c>
      <c r="D57" s="41" t="s">
        <v>285</v>
      </c>
      <c r="E57" s="17" t="s">
        <v>100</v>
      </c>
      <c r="F57" s="17" t="s">
        <v>176</v>
      </c>
      <c r="G57" s="42">
        <v>114722</v>
      </c>
      <c r="H57" s="17" t="s">
        <v>264</v>
      </c>
      <c r="I57" s="41">
        <v>15</v>
      </c>
      <c r="J57" s="43">
        <v>919.4</v>
      </c>
      <c r="K57" s="43">
        <v>13791</v>
      </c>
      <c r="L57" s="17" t="s">
        <v>112</v>
      </c>
      <c r="M57" s="17" t="s">
        <v>113</v>
      </c>
      <c r="N57" s="17" t="s">
        <v>116</v>
      </c>
      <c r="O57" s="17" t="s">
        <v>190</v>
      </c>
      <c r="P57" s="17" t="s">
        <v>195</v>
      </c>
      <c r="Q57" s="44">
        <v>45622</v>
      </c>
      <c r="R57" s="17" t="str">
        <f ca="1">IF(AND(K57&gt;=100000,O57="High"),"Premium Customer",IF(AND(I57&gt;=12,K57&gt;=50000),"Loyal Customer",IF(AND(P57="High",J57&lt;1500),"Bargain Seeker",IF(AND(TODAY()-Q57&gt;180,I57&lt;5),"At Risk","General Customer"))))</f>
        <v>General Customer</v>
      </c>
    </row>
    <row r="58" spans="1:18" ht="15" customHeight="1" x14ac:dyDescent="0.2">
      <c r="A58" s="19" t="s">
        <v>334</v>
      </c>
      <c r="B58" s="37">
        <v>19</v>
      </c>
      <c r="C58" s="19" t="s">
        <v>270</v>
      </c>
      <c r="D58" s="37" t="s">
        <v>266</v>
      </c>
      <c r="E58" s="19" t="s">
        <v>98</v>
      </c>
      <c r="F58" s="19" t="s">
        <v>176</v>
      </c>
      <c r="G58" s="38">
        <v>85325</v>
      </c>
      <c r="H58" s="19" t="s">
        <v>268</v>
      </c>
      <c r="I58" s="37">
        <v>19</v>
      </c>
      <c r="J58" s="39">
        <v>609.78</v>
      </c>
      <c r="K58" s="39">
        <v>11585.82</v>
      </c>
      <c r="L58" s="19" t="s">
        <v>120</v>
      </c>
      <c r="M58" s="19" t="s">
        <v>113</v>
      </c>
      <c r="N58" s="19" t="s">
        <v>116</v>
      </c>
      <c r="O58" s="19" t="s">
        <v>176</v>
      </c>
      <c r="P58" s="19" t="s">
        <v>195</v>
      </c>
      <c r="Q58" s="40">
        <v>45959</v>
      </c>
      <c r="R58" s="19" t="str">
        <f ca="1">IF(AND(K58&gt;=100000,O58="High"),"Premium Customer",IF(AND(I58&gt;=12,K58&gt;=50000),"Loyal Customer",IF(AND(P58="High",J58&lt;1500),"Bargain Seeker",IF(AND(TODAY()-Q58&gt;180,I58&lt;5),"At Risk","General Customer"))))</f>
        <v>General Customer</v>
      </c>
    </row>
    <row r="59" spans="1:18" ht="15" customHeight="1" x14ac:dyDescent="0.2">
      <c r="A59" s="17" t="s">
        <v>335</v>
      </c>
      <c r="B59" s="41">
        <v>48</v>
      </c>
      <c r="C59" s="17" t="s">
        <v>284</v>
      </c>
      <c r="D59" s="41" t="s">
        <v>279</v>
      </c>
      <c r="E59" s="17" t="s">
        <v>97</v>
      </c>
      <c r="F59" s="17" t="s">
        <v>267</v>
      </c>
      <c r="G59" s="42">
        <v>38380</v>
      </c>
      <c r="H59" s="17" t="s">
        <v>282</v>
      </c>
      <c r="I59" s="41">
        <v>11</v>
      </c>
      <c r="J59" s="43">
        <v>5460.03</v>
      </c>
      <c r="K59" s="43">
        <v>60060.33</v>
      </c>
      <c r="L59" s="17" t="s">
        <v>122</v>
      </c>
      <c r="M59" s="17" t="s">
        <v>113</v>
      </c>
      <c r="N59" s="17" t="s">
        <v>116</v>
      </c>
      <c r="O59" s="17" t="s">
        <v>176</v>
      </c>
      <c r="P59" s="17" t="s">
        <v>195</v>
      </c>
      <c r="Q59" s="44">
        <v>46002</v>
      </c>
      <c r="R59" s="17" t="str">
        <f ca="1">IF(AND(K59&gt;=100000,O59="High"),"Premium Customer",IF(AND(I59&gt;=12,K59&gt;=50000),"Loyal Customer",IF(AND(P59="High",J59&lt;1500),"Bargain Seeker",IF(AND(TODAY()-Q59&gt;180,I59&lt;5),"At Risk","General Customer"))))</f>
        <v>General Customer</v>
      </c>
    </row>
    <row r="60" spans="1:18" ht="15" customHeight="1" x14ac:dyDescent="0.2">
      <c r="A60" s="19" t="s">
        <v>336</v>
      </c>
      <c r="B60" s="37">
        <v>25</v>
      </c>
      <c r="C60" s="19" t="s">
        <v>262</v>
      </c>
      <c r="D60" s="37" t="s">
        <v>285</v>
      </c>
      <c r="E60" s="19" t="s">
        <v>100</v>
      </c>
      <c r="F60" s="19" t="s">
        <v>190</v>
      </c>
      <c r="G60" s="38">
        <v>22657</v>
      </c>
      <c r="H60" s="19" t="s">
        <v>264</v>
      </c>
      <c r="I60" s="37">
        <v>1</v>
      </c>
      <c r="J60" s="39">
        <v>5363.98</v>
      </c>
      <c r="K60" s="39">
        <v>5363.98</v>
      </c>
      <c r="L60" s="19" t="s">
        <v>123</v>
      </c>
      <c r="M60" s="19" t="s">
        <v>118</v>
      </c>
      <c r="N60" s="19" t="s">
        <v>116</v>
      </c>
      <c r="O60" s="19" t="s">
        <v>195</v>
      </c>
      <c r="P60" s="19" t="s">
        <v>195</v>
      </c>
      <c r="Q60" s="40">
        <v>45484</v>
      </c>
      <c r="R60" s="19" t="str">
        <f ca="1">IF(AND(K60&gt;=100000,O60="High"),"Premium Customer",IF(AND(I60&gt;=12,K60&gt;=50000),"Loyal Customer",IF(AND(P60="High",J60&lt;1500),"Bargain Seeker",IF(AND(TODAY()-Q60&gt;180,I60&lt;5),"At Risk","General Customer"))))</f>
        <v>At Risk</v>
      </c>
    </row>
    <row r="61" spans="1:18" ht="15" customHeight="1" x14ac:dyDescent="0.2">
      <c r="A61" s="17" t="s">
        <v>337</v>
      </c>
      <c r="B61" s="41">
        <v>36</v>
      </c>
      <c r="C61" s="17" t="s">
        <v>270</v>
      </c>
      <c r="D61" s="41" t="s">
        <v>307</v>
      </c>
      <c r="E61" s="17" t="s">
        <v>100</v>
      </c>
      <c r="F61" s="17" t="s">
        <v>190</v>
      </c>
      <c r="G61" s="42">
        <v>17178</v>
      </c>
      <c r="H61" s="17" t="s">
        <v>264</v>
      </c>
      <c r="I61" s="41">
        <v>4</v>
      </c>
      <c r="J61" s="43">
        <v>522.29</v>
      </c>
      <c r="K61" s="43">
        <v>2089.16</v>
      </c>
      <c r="L61" s="17" t="s">
        <v>112</v>
      </c>
      <c r="M61" s="17" t="s">
        <v>118</v>
      </c>
      <c r="N61" s="17" t="s">
        <v>114</v>
      </c>
      <c r="O61" s="17" t="s">
        <v>195</v>
      </c>
      <c r="P61" s="17" t="s">
        <v>176</v>
      </c>
      <c r="Q61" s="44">
        <v>46018</v>
      </c>
      <c r="R61" s="17" t="str">
        <f ca="1">IF(AND(K61&gt;=100000,O61="High"),"Premium Customer",IF(AND(I61&gt;=12,K61&gt;=50000),"Loyal Customer",IF(AND(P61="High",J61&lt;1500),"Bargain Seeker",IF(AND(TODAY()-Q61&gt;180,I61&lt;5),"At Risk","General Customer"))))</f>
        <v>Bargain Seeker</v>
      </c>
    </row>
    <row r="62" spans="1:18" ht="15" customHeight="1" x14ac:dyDescent="0.2">
      <c r="A62" s="19" t="s">
        <v>338</v>
      </c>
      <c r="B62" s="37">
        <v>25</v>
      </c>
      <c r="C62" s="19" t="s">
        <v>262</v>
      </c>
      <c r="D62" s="37" t="s">
        <v>263</v>
      </c>
      <c r="E62" s="19" t="s">
        <v>97</v>
      </c>
      <c r="F62" s="19" t="s">
        <v>190</v>
      </c>
      <c r="G62" s="38">
        <v>20612</v>
      </c>
      <c r="H62" s="19" t="s">
        <v>273</v>
      </c>
      <c r="I62" s="37">
        <v>23</v>
      </c>
      <c r="J62" s="39">
        <v>2547.33</v>
      </c>
      <c r="K62" s="39">
        <v>58588.59</v>
      </c>
      <c r="L62" s="19" t="s">
        <v>119</v>
      </c>
      <c r="M62" s="19" t="s">
        <v>118</v>
      </c>
      <c r="N62" s="19" t="s">
        <v>116</v>
      </c>
      <c r="O62" s="19" t="s">
        <v>176</v>
      </c>
      <c r="P62" s="19" t="s">
        <v>195</v>
      </c>
      <c r="Q62" s="40">
        <v>45786</v>
      </c>
      <c r="R62" s="19" t="str">
        <f ca="1">IF(AND(K62&gt;=100000,O62="High"),"Premium Customer",IF(AND(I62&gt;=12,K62&gt;=50000),"Loyal Customer",IF(AND(P62="High",J62&lt;1500),"Bargain Seeker",IF(AND(TODAY()-Q62&gt;180,I62&lt;5),"At Risk","General Customer"))))</f>
        <v>Loyal Customer</v>
      </c>
    </row>
    <row r="63" spans="1:18" ht="15" customHeight="1" x14ac:dyDescent="0.2">
      <c r="A63" s="17" t="s">
        <v>339</v>
      </c>
      <c r="B63" s="41">
        <v>56</v>
      </c>
      <c r="C63" s="17" t="s">
        <v>262</v>
      </c>
      <c r="D63" s="41" t="s">
        <v>275</v>
      </c>
      <c r="E63" s="17" t="s">
        <v>97</v>
      </c>
      <c r="F63" s="17" t="s">
        <v>190</v>
      </c>
      <c r="G63" s="42">
        <v>18327</v>
      </c>
      <c r="H63" s="17" t="s">
        <v>282</v>
      </c>
      <c r="I63" s="41">
        <v>3</v>
      </c>
      <c r="J63" s="43">
        <v>2427.11</v>
      </c>
      <c r="K63" s="43">
        <v>7281.33</v>
      </c>
      <c r="L63" s="17" t="s">
        <v>112</v>
      </c>
      <c r="M63" s="17" t="s">
        <v>118</v>
      </c>
      <c r="N63" s="17" t="s">
        <v>114</v>
      </c>
      <c r="O63" s="17" t="s">
        <v>176</v>
      </c>
      <c r="P63" s="17" t="s">
        <v>195</v>
      </c>
      <c r="Q63" s="44">
        <v>45811</v>
      </c>
      <c r="R63" s="17" t="str">
        <f ca="1">IF(AND(K63&gt;=100000,O63="High"),"Premium Customer",IF(AND(I63&gt;=12,K63&gt;=50000),"Loyal Customer",IF(AND(P63="High",J63&lt;1500),"Bargain Seeker",IF(AND(TODAY()-Q63&gt;180,I63&lt;5),"At Risk","General Customer"))))</f>
        <v>At Risk</v>
      </c>
    </row>
    <row r="64" spans="1:18" ht="15" customHeight="1" x14ac:dyDescent="0.2">
      <c r="A64" s="19" t="s">
        <v>340</v>
      </c>
      <c r="B64" s="37">
        <v>49</v>
      </c>
      <c r="C64" s="19" t="s">
        <v>284</v>
      </c>
      <c r="D64" s="37" t="s">
        <v>290</v>
      </c>
      <c r="E64" s="19" t="s">
        <v>98</v>
      </c>
      <c r="F64" s="19" t="s">
        <v>176</v>
      </c>
      <c r="G64" s="38">
        <v>108529</v>
      </c>
      <c r="H64" s="19" t="s">
        <v>268</v>
      </c>
      <c r="I64" s="37">
        <v>18</v>
      </c>
      <c r="J64" s="39">
        <v>4029.43</v>
      </c>
      <c r="K64" s="39">
        <v>72529.740000000005</v>
      </c>
      <c r="L64" s="19" t="s">
        <v>121</v>
      </c>
      <c r="M64" s="19" t="s">
        <v>113</v>
      </c>
      <c r="N64" s="19" t="s">
        <v>116</v>
      </c>
      <c r="O64" s="19" t="s">
        <v>195</v>
      </c>
      <c r="P64" s="19" t="s">
        <v>176</v>
      </c>
      <c r="Q64" s="40">
        <v>45678</v>
      </c>
      <c r="R64" s="19" t="str">
        <f ca="1">IF(AND(K64&gt;=100000,O64="High"),"Premium Customer",IF(AND(I64&gt;=12,K64&gt;=50000),"Loyal Customer",IF(AND(P64="High",J64&lt;1500),"Bargain Seeker",IF(AND(TODAY()-Q64&gt;180,I64&lt;5),"At Risk","General Customer"))))</f>
        <v>Loyal Customer</v>
      </c>
    </row>
    <row r="65" spans="1:18" ht="15" customHeight="1" x14ac:dyDescent="0.2">
      <c r="A65" s="17" t="s">
        <v>341</v>
      </c>
      <c r="B65" s="41">
        <v>44</v>
      </c>
      <c r="C65" s="17" t="s">
        <v>262</v>
      </c>
      <c r="D65" s="41" t="s">
        <v>266</v>
      </c>
      <c r="E65" s="17" t="s">
        <v>98</v>
      </c>
      <c r="F65" s="17" t="s">
        <v>176</v>
      </c>
      <c r="G65" s="42">
        <v>111993</v>
      </c>
      <c r="H65" s="17" t="s">
        <v>282</v>
      </c>
      <c r="I65" s="41">
        <v>23</v>
      </c>
      <c r="J65" s="43">
        <v>7333.41</v>
      </c>
      <c r="K65" s="43">
        <v>168668.43</v>
      </c>
      <c r="L65" s="17" t="s">
        <v>123</v>
      </c>
      <c r="M65" s="17" t="s">
        <v>113</v>
      </c>
      <c r="N65" s="17" t="s">
        <v>116</v>
      </c>
      <c r="O65" s="17" t="s">
        <v>195</v>
      </c>
      <c r="P65" s="17" t="s">
        <v>176</v>
      </c>
      <c r="Q65" s="44">
        <v>45959</v>
      </c>
      <c r="R65" s="17" t="str">
        <f ca="1">IF(AND(K65&gt;=100000,O65="High"),"Premium Customer",IF(AND(I65&gt;=12,K65&gt;=50000),"Loyal Customer",IF(AND(P65="High",J65&lt;1500),"Bargain Seeker",IF(AND(TODAY()-Q65&gt;180,I65&lt;5),"At Risk","General Customer"))))</f>
        <v>Loyal Customer</v>
      </c>
    </row>
    <row r="66" spans="1:18" ht="15" customHeight="1" x14ac:dyDescent="0.2">
      <c r="A66" s="19" t="s">
        <v>342</v>
      </c>
      <c r="B66" s="37">
        <v>24</v>
      </c>
      <c r="C66" s="19" t="s">
        <v>262</v>
      </c>
      <c r="D66" s="37" t="s">
        <v>293</v>
      </c>
      <c r="E66" s="19" t="s">
        <v>98</v>
      </c>
      <c r="F66" s="19" t="s">
        <v>176</v>
      </c>
      <c r="G66" s="38">
        <v>63069</v>
      </c>
      <c r="H66" s="19" t="s">
        <v>268</v>
      </c>
      <c r="I66" s="37">
        <v>17</v>
      </c>
      <c r="J66" s="39">
        <v>7310.4</v>
      </c>
      <c r="K66" s="39">
        <v>124276.8</v>
      </c>
      <c r="L66" s="19" t="s">
        <v>115</v>
      </c>
      <c r="M66" s="19" t="s">
        <v>118</v>
      </c>
      <c r="N66" s="19" t="s">
        <v>116</v>
      </c>
      <c r="O66" s="19" t="s">
        <v>190</v>
      </c>
      <c r="P66" s="19" t="s">
        <v>190</v>
      </c>
      <c r="Q66" s="40">
        <v>45962</v>
      </c>
      <c r="R66" s="19" t="str">
        <f ca="1">IF(AND(K66&gt;=100000,O66="High"),"Premium Customer",IF(AND(I66&gt;=12,K66&gt;=50000),"Loyal Customer",IF(AND(P66="High",J66&lt;1500),"Bargain Seeker",IF(AND(TODAY()-Q66&gt;180,I66&lt;5),"At Risk","General Customer"))))</f>
        <v>Loyal Customer</v>
      </c>
    </row>
    <row r="67" spans="1:18" ht="15" customHeight="1" x14ac:dyDescent="0.2">
      <c r="A67" s="17" t="s">
        <v>343</v>
      </c>
      <c r="B67" s="41">
        <v>59</v>
      </c>
      <c r="C67" s="17" t="s">
        <v>270</v>
      </c>
      <c r="D67" s="41" t="s">
        <v>290</v>
      </c>
      <c r="E67" s="17" t="s">
        <v>98</v>
      </c>
      <c r="F67" s="17" t="s">
        <v>267</v>
      </c>
      <c r="G67" s="42">
        <v>35766</v>
      </c>
      <c r="H67" s="17" t="s">
        <v>268</v>
      </c>
      <c r="I67" s="41">
        <v>13</v>
      </c>
      <c r="J67" s="43">
        <v>7646.87</v>
      </c>
      <c r="K67" s="43">
        <v>99409.31</v>
      </c>
      <c r="L67" s="17" t="s">
        <v>112</v>
      </c>
      <c r="M67" s="17" t="s">
        <v>113</v>
      </c>
      <c r="N67" s="17" t="s">
        <v>116</v>
      </c>
      <c r="O67" s="17" t="s">
        <v>195</v>
      </c>
      <c r="P67" s="17" t="s">
        <v>176</v>
      </c>
      <c r="Q67" s="44">
        <v>45791</v>
      </c>
      <c r="R67" s="17" t="str">
        <f ca="1">IF(AND(K67&gt;=100000,O67="High"),"Premium Customer",IF(AND(I67&gt;=12,K67&gt;=50000),"Loyal Customer",IF(AND(P67="High",J67&lt;1500),"Bargain Seeker",IF(AND(TODAY()-Q67&gt;180,I67&lt;5),"At Risk","General Customer"))))</f>
        <v>Loyal Customer</v>
      </c>
    </row>
    <row r="68" spans="1:18" ht="15" customHeight="1" x14ac:dyDescent="0.2">
      <c r="A68" s="19" t="s">
        <v>344</v>
      </c>
      <c r="B68" s="37">
        <v>65</v>
      </c>
      <c r="C68" s="19" t="s">
        <v>284</v>
      </c>
      <c r="D68" s="37" t="s">
        <v>266</v>
      </c>
      <c r="E68" s="19" t="s">
        <v>98</v>
      </c>
      <c r="F68" s="19" t="s">
        <v>176</v>
      </c>
      <c r="G68" s="38">
        <v>62903</v>
      </c>
      <c r="H68" s="19" t="s">
        <v>264</v>
      </c>
      <c r="I68" s="37">
        <v>21</v>
      </c>
      <c r="J68" s="39">
        <v>5719.96</v>
      </c>
      <c r="K68" s="39">
        <v>120119.16</v>
      </c>
      <c r="L68" s="19" t="s">
        <v>112</v>
      </c>
      <c r="M68" s="19" t="s">
        <v>118</v>
      </c>
      <c r="N68" s="19" t="s">
        <v>116</v>
      </c>
      <c r="O68" s="19" t="s">
        <v>190</v>
      </c>
      <c r="P68" s="19" t="s">
        <v>190</v>
      </c>
      <c r="Q68" s="40">
        <v>45598</v>
      </c>
      <c r="R68" s="19" t="str">
        <f ca="1">IF(AND(K68&gt;=100000,O68="High"),"Premium Customer",IF(AND(I68&gt;=12,K68&gt;=50000),"Loyal Customer",IF(AND(P68="High",J68&lt;1500),"Bargain Seeker",IF(AND(TODAY()-Q68&gt;180,I68&lt;5),"At Risk","General Customer"))))</f>
        <v>Loyal Customer</v>
      </c>
    </row>
    <row r="69" spans="1:18" ht="15" customHeight="1" x14ac:dyDescent="0.2">
      <c r="A69" s="17" t="s">
        <v>345</v>
      </c>
      <c r="B69" s="41">
        <v>27</v>
      </c>
      <c r="C69" s="17" t="s">
        <v>262</v>
      </c>
      <c r="D69" s="41" t="s">
        <v>307</v>
      </c>
      <c r="E69" s="17" t="s">
        <v>100</v>
      </c>
      <c r="F69" s="17" t="s">
        <v>267</v>
      </c>
      <c r="G69" s="42">
        <v>42405</v>
      </c>
      <c r="H69" s="17" t="s">
        <v>264</v>
      </c>
      <c r="I69" s="41">
        <v>19</v>
      </c>
      <c r="J69" s="43">
        <v>5549.86</v>
      </c>
      <c r="K69" s="43">
        <v>105447.34</v>
      </c>
      <c r="L69" s="17" t="s">
        <v>119</v>
      </c>
      <c r="M69" s="17" t="s">
        <v>118</v>
      </c>
      <c r="N69" s="17" t="s">
        <v>116</v>
      </c>
      <c r="O69" s="17" t="s">
        <v>190</v>
      </c>
      <c r="P69" s="17" t="s">
        <v>190</v>
      </c>
      <c r="Q69" s="44">
        <v>45916</v>
      </c>
      <c r="R69" s="17" t="str">
        <f ca="1">IF(AND(K69&gt;=100000,O69="High"),"Premium Customer",IF(AND(I69&gt;=12,K69&gt;=50000),"Loyal Customer",IF(AND(P69="High",J69&lt;1500),"Bargain Seeker",IF(AND(TODAY()-Q69&gt;180,I69&lt;5),"At Risk","General Customer"))))</f>
        <v>Loyal Customer</v>
      </c>
    </row>
    <row r="70" spans="1:18" ht="15" customHeight="1" x14ac:dyDescent="0.2">
      <c r="A70" s="19" t="s">
        <v>346</v>
      </c>
      <c r="B70" s="37">
        <v>34</v>
      </c>
      <c r="C70" s="19" t="s">
        <v>262</v>
      </c>
      <c r="D70" s="37" t="s">
        <v>279</v>
      </c>
      <c r="E70" s="19" t="s">
        <v>97</v>
      </c>
      <c r="F70" s="19" t="s">
        <v>190</v>
      </c>
      <c r="G70" s="38">
        <v>17529</v>
      </c>
      <c r="H70" s="19" t="s">
        <v>276</v>
      </c>
      <c r="I70" s="37">
        <v>15</v>
      </c>
      <c r="J70" s="39">
        <v>7239.31</v>
      </c>
      <c r="K70" s="39">
        <v>108589.65</v>
      </c>
      <c r="L70" s="19" t="s">
        <v>120</v>
      </c>
      <c r="M70" s="19" t="s">
        <v>118</v>
      </c>
      <c r="N70" s="19" t="s">
        <v>116</v>
      </c>
      <c r="O70" s="19" t="s">
        <v>195</v>
      </c>
      <c r="P70" s="19" t="s">
        <v>190</v>
      </c>
      <c r="Q70" s="40">
        <v>45744</v>
      </c>
      <c r="R70" s="19" t="str">
        <f ca="1">IF(AND(K70&gt;=100000,O70="High"),"Premium Customer",IF(AND(I70&gt;=12,K70&gt;=50000),"Loyal Customer",IF(AND(P70="High",J70&lt;1500),"Bargain Seeker",IF(AND(TODAY()-Q70&gt;180,I70&lt;5),"At Risk","General Customer"))))</f>
        <v>Loyal Customer</v>
      </c>
    </row>
    <row r="71" spans="1:18" ht="15" customHeight="1" x14ac:dyDescent="0.2">
      <c r="A71" s="17" t="s">
        <v>347</v>
      </c>
      <c r="B71" s="41">
        <v>42</v>
      </c>
      <c r="C71" s="17" t="s">
        <v>262</v>
      </c>
      <c r="D71" s="41" t="s">
        <v>290</v>
      </c>
      <c r="E71" s="17" t="s">
        <v>98</v>
      </c>
      <c r="F71" s="17" t="s">
        <v>267</v>
      </c>
      <c r="G71" s="42">
        <v>40833</v>
      </c>
      <c r="H71" s="17" t="s">
        <v>264</v>
      </c>
      <c r="I71" s="41">
        <v>8</v>
      </c>
      <c r="J71" s="43">
        <v>3236.51</v>
      </c>
      <c r="K71" s="43">
        <v>25892.080000000002</v>
      </c>
      <c r="L71" s="17" t="s">
        <v>122</v>
      </c>
      <c r="M71" s="17" t="s">
        <v>118</v>
      </c>
      <c r="N71" s="17" t="s">
        <v>114</v>
      </c>
      <c r="O71" s="17" t="s">
        <v>195</v>
      </c>
      <c r="P71" s="17" t="s">
        <v>190</v>
      </c>
      <c r="Q71" s="44">
        <v>46008</v>
      </c>
      <c r="R71" s="17" t="str">
        <f ca="1">IF(AND(K71&gt;=100000,O71="High"),"Premium Customer",IF(AND(I71&gt;=12,K71&gt;=50000),"Loyal Customer",IF(AND(P71="High",J71&lt;1500),"Bargain Seeker",IF(AND(TODAY()-Q71&gt;180,I71&lt;5),"At Risk","General Customer"))))</f>
        <v>General Customer</v>
      </c>
    </row>
    <row r="72" spans="1:18" ht="15" customHeight="1" x14ac:dyDescent="0.2">
      <c r="A72" s="19" t="s">
        <v>348</v>
      </c>
      <c r="B72" s="37">
        <v>65</v>
      </c>
      <c r="C72" s="19" t="s">
        <v>270</v>
      </c>
      <c r="D72" s="37" t="s">
        <v>307</v>
      </c>
      <c r="E72" s="19" t="s">
        <v>100</v>
      </c>
      <c r="F72" s="19" t="s">
        <v>176</v>
      </c>
      <c r="G72" s="38">
        <v>80162</v>
      </c>
      <c r="H72" s="19" t="s">
        <v>273</v>
      </c>
      <c r="I72" s="37">
        <v>20</v>
      </c>
      <c r="J72" s="39">
        <v>6474.88</v>
      </c>
      <c r="K72" s="39">
        <v>129497.60000000001</v>
      </c>
      <c r="L72" s="19" t="s">
        <v>117</v>
      </c>
      <c r="M72" s="19" t="s">
        <v>113</v>
      </c>
      <c r="N72" s="19" t="s">
        <v>116</v>
      </c>
      <c r="O72" s="19" t="s">
        <v>190</v>
      </c>
      <c r="P72" s="19" t="s">
        <v>190</v>
      </c>
      <c r="Q72" s="40">
        <v>45548</v>
      </c>
      <c r="R72" s="19" t="str">
        <f ca="1">IF(AND(K72&gt;=100000,O72="High"),"Premium Customer",IF(AND(I72&gt;=12,K72&gt;=50000),"Loyal Customer",IF(AND(P72="High",J72&lt;1500),"Bargain Seeker",IF(AND(TODAY()-Q72&gt;180,I72&lt;5),"At Risk","General Customer"))))</f>
        <v>Loyal Customer</v>
      </c>
    </row>
    <row r="73" spans="1:18" ht="15" customHeight="1" x14ac:dyDescent="0.2">
      <c r="A73" s="17" t="s">
        <v>349</v>
      </c>
      <c r="B73" s="41">
        <v>41</v>
      </c>
      <c r="C73" s="17" t="s">
        <v>262</v>
      </c>
      <c r="D73" s="41" t="s">
        <v>307</v>
      </c>
      <c r="E73" s="17" t="s">
        <v>100</v>
      </c>
      <c r="F73" s="17" t="s">
        <v>267</v>
      </c>
      <c r="G73" s="42">
        <v>29306</v>
      </c>
      <c r="H73" s="17" t="s">
        <v>282</v>
      </c>
      <c r="I73" s="41">
        <v>10</v>
      </c>
      <c r="J73" s="43">
        <v>2815.74</v>
      </c>
      <c r="K73" s="43">
        <v>28157.4</v>
      </c>
      <c r="L73" s="17" t="s">
        <v>121</v>
      </c>
      <c r="M73" s="17" t="s">
        <v>118</v>
      </c>
      <c r="N73" s="17" t="s">
        <v>116</v>
      </c>
      <c r="O73" s="17" t="s">
        <v>195</v>
      </c>
      <c r="P73" s="17" t="s">
        <v>190</v>
      </c>
      <c r="Q73" s="44">
        <v>45844</v>
      </c>
      <c r="R73" s="17" t="str">
        <f ca="1">IF(AND(K73&gt;=100000,O73="High"),"Premium Customer",IF(AND(I73&gt;=12,K73&gt;=50000),"Loyal Customer",IF(AND(P73="High",J73&lt;1500),"Bargain Seeker",IF(AND(TODAY()-Q73&gt;180,I73&lt;5),"At Risk","General Customer"))))</f>
        <v>General Customer</v>
      </c>
    </row>
    <row r="74" spans="1:18" ht="15" customHeight="1" x14ac:dyDescent="0.2">
      <c r="A74" s="19" t="s">
        <v>350</v>
      </c>
      <c r="B74" s="37">
        <v>36</v>
      </c>
      <c r="C74" s="19" t="s">
        <v>284</v>
      </c>
      <c r="D74" s="37" t="s">
        <v>293</v>
      </c>
      <c r="E74" s="19" t="s">
        <v>98</v>
      </c>
      <c r="F74" s="19" t="s">
        <v>267</v>
      </c>
      <c r="G74" s="38">
        <v>36099</v>
      </c>
      <c r="H74" s="19" t="s">
        <v>282</v>
      </c>
      <c r="I74" s="37">
        <v>15</v>
      </c>
      <c r="J74" s="39">
        <v>7714.28</v>
      </c>
      <c r="K74" s="39">
        <v>115714.2</v>
      </c>
      <c r="L74" s="19" t="s">
        <v>122</v>
      </c>
      <c r="M74" s="19" t="s">
        <v>118</v>
      </c>
      <c r="N74" s="19" t="s">
        <v>116</v>
      </c>
      <c r="O74" s="19" t="s">
        <v>190</v>
      </c>
      <c r="P74" s="19" t="s">
        <v>176</v>
      </c>
      <c r="Q74" s="40">
        <v>45984</v>
      </c>
      <c r="R74" s="19" t="str">
        <f ca="1">IF(AND(K74&gt;=100000,O74="High"),"Premium Customer",IF(AND(I74&gt;=12,K74&gt;=50000),"Loyal Customer",IF(AND(P74="High",J74&lt;1500),"Bargain Seeker",IF(AND(TODAY()-Q74&gt;180,I74&lt;5),"At Risk","General Customer"))))</f>
        <v>Loyal Customer</v>
      </c>
    </row>
    <row r="75" spans="1:18" ht="15" customHeight="1" x14ac:dyDescent="0.2">
      <c r="A75" s="17" t="s">
        <v>351</v>
      </c>
      <c r="B75" s="41">
        <v>25</v>
      </c>
      <c r="C75" s="17" t="s">
        <v>262</v>
      </c>
      <c r="D75" s="41" t="s">
        <v>263</v>
      </c>
      <c r="E75" s="17" t="s">
        <v>97</v>
      </c>
      <c r="F75" s="17" t="s">
        <v>267</v>
      </c>
      <c r="G75" s="42">
        <v>37077</v>
      </c>
      <c r="H75" s="17" t="s">
        <v>273</v>
      </c>
      <c r="I75" s="41">
        <v>19</v>
      </c>
      <c r="J75" s="43">
        <v>3233.9</v>
      </c>
      <c r="K75" s="43">
        <v>61444.1</v>
      </c>
      <c r="L75" s="17" t="s">
        <v>112</v>
      </c>
      <c r="M75" s="17" t="s">
        <v>118</v>
      </c>
      <c r="N75" s="17" t="s">
        <v>114</v>
      </c>
      <c r="O75" s="17" t="s">
        <v>195</v>
      </c>
      <c r="P75" s="17" t="s">
        <v>195</v>
      </c>
      <c r="Q75" s="44">
        <v>45983</v>
      </c>
      <c r="R75" s="17" t="str">
        <f ca="1">IF(AND(K75&gt;=100000,O75="High"),"Premium Customer",IF(AND(I75&gt;=12,K75&gt;=50000),"Loyal Customer",IF(AND(P75="High",J75&lt;1500),"Bargain Seeker",IF(AND(TODAY()-Q75&gt;180,I75&lt;5),"At Risk","General Customer"))))</f>
        <v>Loyal Customer</v>
      </c>
    </row>
    <row r="76" spans="1:18" ht="15" customHeight="1" x14ac:dyDescent="0.2">
      <c r="A76" s="19" t="s">
        <v>352</v>
      </c>
      <c r="B76" s="37">
        <v>47</v>
      </c>
      <c r="C76" s="19" t="s">
        <v>270</v>
      </c>
      <c r="D76" s="37" t="s">
        <v>279</v>
      </c>
      <c r="E76" s="19" t="s">
        <v>97</v>
      </c>
      <c r="F76" s="19" t="s">
        <v>190</v>
      </c>
      <c r="G76" s="38">
        <v>24899</v>
      </c>
      <c r="H76" s="19" t="s">
        <v>273</v>
      </c>
      <c r="I76" s="37">
        <v>21</v>
      </c>
      <c r="J76" s="39">
        <v>3443.88</v>
      </c>
      <c r="K76" s="39">
        <v>72321.48</v>
      </c>
      <c r="L76" s="19" t="s">
        <v>115</v>
      </c>
      <c r="M76" s="19" t="s">
        <v>113</v>
      </c>
      <c r="N76" s="19" t="s">
        <v>116</v>
      </c>
      <c r="O76" s="19" t="s">
        <v>190</v>
      </c>
      <c r="P76" s="19" t="s">
        <v>176</v>
      </c>
      <c r="Q76" s="40">
        <v>45603</v>
      </c>
      <c r="R76" s="19" t="str">
        <f ca="1">IF(AND(K76&gt;=100000,O76="High"),"Premium Customer",IF(AND(I76&gt;=12,K76&gt;=50000),"Loyal Customer",IF(AND(P76="High",J76&lt;1500),"Bargain Seeker",IF(AND(TODAY()-Q76&gt;180,I76&lt;5),"At Risk","General Customer"))))</f>
        <v>Loyal Customer</v>
      </c>
    </row>
    <row r="77" spans="1:18" ht="15" customHeight="1" x14ac:dyDescent="0.2">
      <c r="A77" s="17" t="s">
        <v>353</v>
      </c>
      <c r="B77" s="41">
        <v>41</v>
      </c>
      <c r="C77" s="17" t="s">
        <v>262</v>
      </c>
      <c r="D77" s="41" t="s">
        <v>266</v>
      </c>
      <c r="E77" s="17" t="s">
        <v>98</v>
      </c>
      <c r="F77" s="17" t="s">
        <v>176</v>
      </c>
      <c r="G77" s="42">
        <v>104935</v>
      </c>
      <c r="H77" s="17" t="s">
        <v>276</v>
      </c>
      <c r="I77" s="41">
        <v>19</v>
      </c>
      <c r="J77" s="43">
        <v>6015.47</v>
      </c>
      <c r="K77" s="43">
        <v>114293.93</v>
      </c>
      <c r="L77" s="17" t="s">
        <v>122</v>
      </c>
      <c r="M77" s="17" t="s">
        <v>118</v>
      </c>
      <c r="N77" s="17" t="s">
        <v>116</v>
      </c>
      <c r="O77" s="17" t="s">
        <v>190</v>
      </c>
      <c r="P77" s="17" t="s">
        <v>195</v>
      </c>
      <c r="Q77" s="44">
        <v>45393</v>
      </c>
      <c r="R77" s="17" t="str">
        <f ca="1">IF(AND(K77&gt;=100000,O77="High"),"Premium Customer",IF(AND(I77&gt;=12,K77&gt;=50000),"Loyal Customer",IF(AND(P77="High",J77&lt;1500),"Bargain Seeker",IF(AND(TODAY()-Q77&gt;180,I77&lt;5),"At Risk","General Customer"))))</f>
        <v>Loyal Customer</v>
      </c>
    </row>
    <row r="78" spans="1:18" ht="15" customHeight="1" x14ac:dyDescent="0.2">
      <c r="A78" s="19" t="s">
        <v>354</v>
      </c>
      <c r="B78" s="37">
        <v>46</v>
      </c>
      <c r="C78" s="19" t="s">
        <v>262</v>
      </c>
      <c r="D78" s="37" t="s">
        <v>307</v>
      </c>
      <c r="E78" s="19" t="s">
        <v>100</v>
      </c>
      <c r="F78" s="19" t="s">
        <v>176</v>
      </c>
      <c r="G78" s="38">
        <v>63022</v>
      </c>
      <c r="H78" s="19" t="s">
        <v>264</v>
      </c>
      <c r="I78" s="37">
        <v>22</v>
      </c>
      <c r="J78" s="39">
        <v>3128.48</v>
      </c>
      <c r="K78" s="39">
        <v>68826.559999999998</v>
      </c>
      <c r="L78" s="19" t="s">
        <v>119</v>
      </c>
      <c r="M78" s="19" t="s">
        <v>113</v>
      </c>
      <c r="N78" s="19" t="s">
        <v>116</v>
      </c>
      <c r="O78" s="19" t="s">
        <v>176</v>
      </c>
      <c r="P78" s="19" t="s">
        <v>195</v>
      </c>
      <c r="Q78" s="40">
        <v>45354</v>
      </c>
      <c r="R78" s="19" t="str">
        <f ca="1">IF(AND(K78&gt;=100000,O78="High"),"Premium Customer",IF(AND(I78&gt;=12,K78&gt;=50000),"Loyal Customer",IF(AND(P78="High",J78&lt;1500),"Bargain Seeker",IF(AND(TODAY()-Q78&gt;180,I78&lt;5),"At Risk","General Customer"))))</f>
        <v>Loyal Customer</v>
      </c>
    </row>
    <row r="79" spans="1:18" ht="15" customHeight="1" x14ac:dyDescent="0.2">
      <c r="A79" s="17" t="s">
        <v>355</v>
      </c>
      <c r="B79" s="41">
        <v>56</v>
      </c>
      <c r="C79" s="17" t="s">
        <v>270</v>
      </c>
      <c r="D79" s="41" t="s">
        <v>285</v>
      </c>
      <c r="E79" s="17" t="s">
        <v>100</v>
      </c>
      <c r="F79" s="17" t="s">
        <v>190</v>
      </c>
      <c r="G79" s="42">
        <v>10349</v>
      </c>
      <c r="H79" s="17" t="s">
        <v>276</v>
      </c>
      <c r="I79" s="41">
        <v>8</v>
      </c>
      <c r="J79" s="43">
        <v>7913.92</v>
      </c>
      <c r="K79" s="43">
        <v>63311.360000000001</v>
      </c>
      <c r="L79" s="17" t="s">
        <v>119</v>
      </c>
      <c r="M79" s="17" t="s">
        <v>113</v>
      </c>
      <c r="N79" s="17" t="s">
        <v>114</v>
      </c>
      <c r="O79" s="17" t="s">
        <v>176</v>
      </c>
      <c r="P79" s="17" t="s">
        <v>190</v>
      </c>
      <c r="Q79" s="44">
        <v>45859</v>
      </c>
      <c r="R79" s="17" t="str">
        <f ca="1">IF(AND(K79&gt;=100000,O79="High"),"Premium Customer",IF(AND(I79&gt;=12,K79&gt;=50000),"Loyal Customer",IF(AND(P79="High",J79&lt;1500),"Bargain Seeker",IF(AND(TODAY()-Q79&gt;180,I79&lt;5),"At Risk","General Customer"))))</f>
        <v>General Customer</v>
      </c>
    </row>
    <row r="80" spans="1:18" ht="15" customHeight="1" x14ac:dyDescent="0.2">
      <c r="A80" s="19" t="s">
        <v>356</v>
      </c>
      <c r="B80" s="37">
        <v>27</v>
      </c>
      <c r="C80" s="19" t="s">
        <v>262</v>
      </c>
      <c r="D80" s="37" t="s">
        <v>271</v>
      </c>
      <c r="E80" s="19" t="s">
        <v>100</v>
      </c>
      <c r="F80" s="19" t="s">
        <v>190</v>
      </c>
      <c r="G80" s="38">
        <v>12129</v>
      </c>
      <c r="H80" s="19" t="s">
        <v>268</v>
      </c>
      <c r="I80" s="37">
        <v>6</v>
      </c>
      <c r="J80" s="39">
        <v>1146.43</v>
      </c>
      <c r="K80" s="39">
        <v>6878.58</v>
      </c>
      <c r="L80" s="19" t="s">
        <v>119</v>
      </c>
      <c r="M80" s="19" t="s">
        <v>118</v>
      </c>
      <c r="N80" s="19" t="s">
        <v>116</v>
      </c>
      <c r="O80" s="19" t="s">
        <v>176</v>
      </c>
      <c r="P80" s="19" t="s">
        <v>190</v>
      </c>
      <c r="Q80" s="40">
        <v>45658</v>
      </c>
      <c r="R80" s="19" t="str">
        <f ca="1">IF(AND(K80&gt;=100000,O80="High"),"Premium Customer",IF(AND(I80&gt;=12,K80&gt;=50000),"Loyal Customer",IF(AND(P80="High",J80&lt;1500),"Bargain Seeker",IF(AND(TODAY()-Q80&gt;180,I80&lt;5),"At Risk","General Customer"))))</f>
        <v>General Customer</v>
      </c>
    </row>
    <row r="81" spans="1:18" ht="15" customHeight="1" x14ac:dyDescent="0.2">
      <c r="A81" s="17" t="s">
        <v>357</v>
      </c>
      <c r="B81" s="41">
        <v>65</v>
      </c>
      <c r="C81" s="17" t="s">
        <v>262</v>
      </c>
      <c r="D81" s="41" t="s">
        <v>307</v>
      </c>
      <c r="E81" s="17" t="s">
        <v>100</v>
      </c>
      <c r="F81" s="17" t="s">
        <v>190</v>
      </c>
      <c r="G81" s="42">
        <v>16897</v>
      </c>
      <c r="H81" s="17" t="s">
        <v>264</v>
      </c>
      <c r="I81" s="41">
        <v>24</v>
      </c>
      <c r="J81" s="43">
        <v>789.4</v>
      </c>
      <c r="K81" s="43">
        <v>18945.599999999999</v>
      </c>
      <c r="L81" s="17" t="s">
        <v>119</v>
      </c>
      <c r="M81" s="17" t="s">
        <v>113</v>
      </c>
      <c r="N81" s="17" t="s">
        <v>114</v>
      </c>
      <c r="O81" s="17" t="s">
        <v>195</v>
      </c>
      <c r="P81" s="17" t="s">
        <v>195</v>
      </c>
      <c r="Q81" s="44">
        <v>45899</v>
      </c>
      <c r="R81" s="17" t="str">
        <f ca="1">IF(AND(K81&gt;=100000,O81="High"),"Premium Customer",IF(AND(I81&gt;=12,K81&gt;=50000),"Loyal Customer",IF(AND(P81="High",J81&lt;1500),"Bargain Seeker",IF(AND(TODAY()-Q81&gt;180,I81&lt;5),"At Risk","General Customer"))))</f>
        <v>General Customer</v>
      </c>
    </row>
    <row r="82" spans="1:18" ht="15" customHeight="1" x14ac:dyDescent="0.2">
      <c r="A82" s="19" t="s">
        <v>358</v>
      </c>
      <c r="B82" s="37">
        <v>19</v>
      </c>
      <c r="C82" s="19" t="s">
        <v>270</v>
      </c>
      <c r="D82" s="37" t="s">
        <v>275</v>
      </c>
      <c r="E82" s="19" t="s">
        <v>97</v>
      </c>
      <c r="F82" s="19" t="s">
        <v>267</v>
      </c>
      <c r="G82" s="38">
        <v>40695</v>
      </c>
      <c r="H82" s="19" t="s">
        <v>282</v>
      </c>
      <c r="I82" s="37">
        <v>14</v>
      </c>
      <c r="J82" s="39">
        <v>5582.95</v>
      </c>
      <c r="K82" s="39">
        <v>78161.3</v>
      </c>
      <c r="L82" s="19" t="s">
        <v>121</v>
      </c>
      <c r="M82" s="19" t="s">
        <v>113</v>
      </c>
      <c r="N82" s="19" t="s">
        <v>116</v>
      </c>
      <c r="O82" s="19" t="s">
        <v>195</v>
      </c>
      <c r="P82" s="19" t="s">
        <v>176</v>
      </c>
      <c r="Q82" s="40">
        <v>45367</v>
      </c>
      <c r="R82" s="19" t="str">
        <f ca="1">IF(AND(K82&gt;=100000,O82="High"),"Premium Customer",IF(AND(I82&gt;=12,K82&gt;=50000),"Loyal Customer",IF(AND(P82="High",J82&lt;1500),"Bargain Seeker",IF(AND(TODAY()-Q82&gt;180,I82&lt;5),"At Risk","General Customer"))))</f>
        <v>Loyal Customer</v>
      </c>
    </row>
    <row r="83" spans="1:18" ht="15" customHeight="1" x14ac:dyDescent="0.2">
      <c r="A83" s="17" t="s">
        <v>359</v>
      </c>
      <c r="B83" s="41">
        <v>55</v>
      </c>
      <c r="C83" s="17" t="s">
        <v>270</v>
      </c>
      <c r="D83" s="41" t="s">
        <v>263</v>
      </c>
      <c r="E83" s="17" t="s">
        <v>97</v>
      </c>
      <c r="F83" s="17" t="s">
        <v>190</v>
      </c>
      <c r="G83" s="42">
        <v>18984</v>
      </c>
      <c r="H83" s="17" t="s">
        <v>264</v>
      </c>
      <c r="I83" s="41">
        <v>13</v>
      </c>
      <c r="J83" s="43">
        <v>7958.63</v>
      </c>
      <c r="K83" s="43">
        <v>103462.19</v>
      </c>
      <c r="L83" s="17" t="s">
        <v>115</v>
      </c>
      <c r="M83" s="17" t="s">
        <v>113</v>
      </c>
      <c r="N83" s="17" t="s">
        <v>116</v>
      </c>
      <c r="O83" s="17" t="s">
        <v>195</v>
      </c>
      <c r="P83" s="17" t="s">
        <v>195</v>
      </c>
      <c r="Q83" s="44">
        <v>45911</v>
      </c>
      <c r="R83" s="17" t="str">
        <f ca="1">IF(AND(K83&gt;=100000,O83="High"),"Premium Customer",IF(AND(I83&gt;=12,K83&gt;=50000),"Loyal Customer",IF(AND(P83="High",J83&lt;1500),"Bargain Seeker",IF(AND(TODAY()-Q83&gt;180,I83&lt;5),"At Risk","General Customer"))))</f>
        <v>Loyal Customer</v>
      </c>
    </row>
    <row r="84" spans="1:18" ht="15" customHeight="1" x14ac:dyDescent="0.2">
      <c r="A84" s="19" t="s">
        <v>360</v>
      </c>
      <c r="B84" s="37">
        <v>47</v>
      </c>
      <c r="C84" s="19" t="s">
        <v>262</v>
      </c>
      <c r="D84" s="37" t="s">
        <v>281</v>
      </c>
      <c r="E84" s="19" t="s">
        <v>99</v>
      </c>
      <c r="F84" s="19" t="s">
        <v>267</v>
      </c>
      <c r="G84" s="38">
        <v>38631</v>
      </c>
      <c r="H84" s="19" t="s">
        <v>276</v>
      </c>
      <c r="I84" s="37">
        <v>11</v>
      </c>
      <c r="J84" s="39">
        <v>3586.08</v>
      </c>
      <c r="K84" s="39">
        <v>39446.879999999997</v>
      </c>
      <c r="L84" s="19" t="s">
        <v>123</v>
      </c>
      <c r="M84" s="19" t="s">
        <v>113</v>
      </c>
      <c r="N84" s="19" t="s">
        <v>116</v>
      </c>
      <c r="O84" s="19" t="s">
        <v>195</v>
      </c>
      <c r="P84" s="19" t="s">
        <v>195</v>
      </c>
      <c r="Q84" s="40">
        <v>45448</v>
      </c>
      <c r="R84" s="19" t="str">
        <f ca="1">IF(AND(K84&gt;=100000,O84="High"),"Premium Customer",IF(AND(I84&gt;=12,K84&gt;=50000),"Loyal Customer",IF(AND(P84="High",J84&lt;1500),"Bargain Seeker",IF(AND(TODAY()-Q84&gt;180,I84&lt;5),"At Risk","General Customer"))))</f>
        <v>General Customer</v>
      </c>
    </row>
    <row r="85" spans="1:18" ht="15" customHeight="1" x14ac:dyDescent="0.2">
      <c r="A85" s="17" t="s">
        <v>361</v>
      </c>
      <c r="B85" s="41">
        <v>65</v>
      </c>
      <c r="C85" s="17" t="s">
        <v>262</v>
      </c>
      <c r="D85" s="41" t="s">
        <v>263</v>
      </c>
      <c r="E85" s="17" t="s">
        <v>97</v>
      </c>
      <c r="F85" s="17" t="s">
        <v>190</v>
      </c>
      <c r="G85" s="42">
        <v>22104</v>
      </c>
      <c r="H85" s="17" t="s">
        <v>273</v>
      </c>
      <c r="I85" s="41">
        <v>18</v>
      </c>
      <c r="J85" s="43">
        <v>761.85</v>
      </c>
      <c r="K85" s="43">
        <v>13713.3</v>
      </c>
      <c r="L85" s="17" t="s">
        <v>121</v>
      </c>
      <c r="M85" s="17" t="s">
        <v>118</v>
      </c>
      <c r="N85" s="17" t="s">
        <v>114</v>
      </c>
      <c r="O85" s="17" t="s">
        <v>176</v>
      </c>
      <c r="P85" s="17" t="s">
        <v>195</v>
      </c>
      <c r="Q85" s="44">
        <v>45978</v>
      </c>
      <c r="R85" s="17" t="str">
        <f ca="1">IF(AND(K85&gt;=100000,O85="High"),"Premium Customer",IF(AND(I85&gt;=12,K85&gt;=50000),"Loyal Customer",IF(AND(P85="High",J85&lt;1500),"Bargain Seeker",IF(AND(TODAY()-Q85&gt;180,I85&lt;5),"At Risk","General Customer"))))</f>
        <v>General Customer</v>
      </c>
    </row>
    <row r="86" spans="1:18" ht="15" customHeight="1" x14ac:dyDescent="0.2">
      <c r="A86" s="19" t="s">
        <v>362</v>
      </c>
      <c r="B86" s="37">
        <v>24</v>
      </c>
      <c r="C86" s="19" t="s">
        <v>262</v>
      </c>
      <c r="D86" s="37" t="s">
        <v>307</v>
      </c>
      <c r="E86" s="19" t="s">
        <v>100</v>
      </c>
      <c r="F86" s="19" t="s">
        <v>267</v>
      </c>
      <c r="G86" s="38">
        <v>41626</v>
      </c>
      <c r="H86" s="19" t="s">
        <v>268</v>
      </c>
      <c r="I86" s="37">
        <v>5</v>
      </c>
      <c r="J86" s="39">
        <v>5356.87</v>
      </c>
      <c r="K86" s="39">
        <v>26784.35</v>
      </c>
      <c r="L86" s="19" t="s">
        <v>120</v>
      </c>
      <c r="M86" s="19" t="s">
        <v>113</v>
      </c>
      <c r="N86" s="19" t="s">
        <v>116</v>
      </c>
      <c r="O86" s="19" t="s">
        <v>190</v>
      </c>
      <c r="P86" s="19" t="s">
        <v>190</v>
      </c>
      <c r="Q86" s="40">
        <v>45861</v>
      </c>
      <c r="R86" s="19" t="str">
        <f ca="1">IF(AND(K86&gt;=100000,O86="High"),"Premium Customer",IF(AND(I86&gt;=12,K86&gt;=50000),"Loyal Customer",IF(AND(P86="High",J86&lt;1500),"Bargain Seeker",IF(AND(TODAY()-Q86&gt;180,I86&lt;5),"At Risk","General Customer"))))</f>
        <v>General Customer</v>
      </c>
    </row>
    <row r="87" spans="1:18" ht="15" customHeight="1" x14ac:dyDescent="0.2">
      <c r="A87" s="17" t="s">
        <v>363</v>
      </c>
      <c r="B87" s="41">
        <v>59</v>
      </c>
      <c r="C87" s="17" t="s">
        <v>270</v>
      </c>
      <c r="D87" s="41" t="s">
        <v>281</v>
      </c>
      <c r="E87" s="17" t="s">
        <v>99</v>
      </c>
      <c r="F87" s="17" t="s">
        <v>176</v>
      </c>
      <c r="G87" s="42">
        <v>85054</v>
      </c>
      <c r="H87" s="17" t="s">
        <v>268</v>
      </c>
      <c r="I87" s="41">
        <v>1</v>
      </c>
      <c r="J87" s="43">
        <v>1689.2</v>
      </c>
      <c r="K87" s="43">
        <v>1689.2</v>
      </c>
      <c r="L87" s="17" t="s">
        <v>117</v>
      </c>
      <c r="M87" s="17" t="s">
        <v>113</v>
      </c>
      <c r="N87" s="17" t="s">
        <v>116</v>
      </c>
      <c r="O87" s="17" t="s">
        <v>176</v>
      </c>
      <c r="P87" s="17" t="s">
        <v>195</v>
      </c>
      <c r="Q87" s="44">
        <v>45639</v>
      </c>
      <c r="R87" s="17" t="str">
        <f ca="1">IF(AND(K87&gt;=100000,O87="High"),"Premium Customer",IF(AND(I87&gt;=12,K87&gt;=50000),"Loyal Customer",IF(AND(P87="High",J87&lt;1500),"Bargain Seeker",IF(AND(TODAY()-Q87&gt;180,I87&lt;5),"At Risk","General Customer"))))</f>
        <v>At Risk</v>
      </c>
    </row>
    <row r="88" spans="1:18" ht="15" customHeight="1" x14ac:dyDescent="0.2">
      <c r="A88" s="19" t="s">
        <v>364</v>
      </c>
      <c r="B88" s="37">
        <v>65</v>
      </c>
      <c r="C88" s="19" t="s">
        <v>262</v>
      </c>
      <c r="D88" s="37" t="s">
        <v>279</v>
      </c>
      <c r="E88" s="19" t="s">
        <v>97</v>
      </c>
      <c r="F88" s="19" t="s">
        <v>176</v>
      </c>
      <c r="G88" s="38">
        <v>62026</v>
      </c>
      <c r="H88" s="19" t="s">
        <v>282</v>
      </c>
      <c r="I88" s="37">
        <v>24</v>
      </c>
      <c r="J88" s="39">
        <v>4384.72</v>
      </c>
      <c r="K88" s="39">
        <v>105233.28</v>
      </c>
      <c r="L88" s="19" t="s">
        <v>121</v>
      </c>
      <c r="M88" s="19" t="s">
        <v>113</v>
      </c>
      <c r="N88" s="19" t="s">
        <v>116</v>
      </c>
      <c r="O88" s="19" t="s">
        <v>195</v>
      </c>
      <c r="P88" s="19" t="s">
        <v>195</v>
      </c>
      <c r="Q88" s="40">
        <v>45453</v>
      </c>
      <c r="R88" s="19" t="str">
        <f ca="1">IF(AND(K88&gt;=100000,O88="High"),"Premium Customer",IF(AND(I88&gt;=12,K88&gt;=50000),"Loyal Customer",IF(AND(P88="High",J88&lt;1500),"Bargain Seeker",IF(AND(TODAY()-Q88&gt;180,I88&lt;5),"At Risk","General Customer"))))</f>
        <v>Loyal Customer</v>
      </c>
    </row>
    <row r="89" spans="1:18" ht="15" customHeight="1" x14ac:dyDescent="0.2">
      <c r="A89" s="17" t="s">
        <v>365</v>
      </c>
      <c r="B89" s="41">
        <v>21</v>
      </c>
      <c r="C89" s="17" t="s">
        <v>270</v>
      </c>
      <c r="D89" s="41" t="s">
        <v>307</v>
      </c>
      <c r="E89" s="17" t="s">
        <v>100</v>
      </c>
      <c r="F89" s="17" t="s">
        <v>190</v>
      </c>
      <c r="G89" s="42">
        <v>21042</v>
      </c>
      <c r="H89" s="17" t="s">
        <v>276</v>
      </c>
      <c r="I89" s="41">
        <v>15</v>
      </c>
      <c r="J89" s="43">
        <v>5396.93</v>
      </c>
      <c r="K89" s="43">
        <v>80953.95</v>
      </c>
      <c r="L89" s="17" t="s">
        <v>115</v>
      </c>
      <c r="M89" s="17" t="s">
        <v>118</v>
      </c>
      <c r="N89" s="17" t="s">
        <v>114</v>
      </c>
      <c r="O89" s="17" t="s">
        <v>195</v>
      </c>
      <c r="P89" s="17" t="s">
        <v>195</v>
      </c>
      <c r="Q89" s="44">
        <v>45571</v>
      </c>
      <c r="R89" s="17" t="str">
        <f ca="1">IF(AND(K89&gt;=100000,O89="High"),"Premium Customer",IF(AND(I89&gt;=12,K89&gt;=50000),"Loyal Customer",IF(AND(P89="High",J89&lt;1500),"Bargain Seeker",IF(AND(TODAY()-Q89&gt;180,I89&lt;5),"At Risk","General Customer"))))</f>
        <v>Loyal Customer</v>
      </c>
    </row>
    <row r="90" spans="1:18" ht="15" customHeight="1" x14ac:dyDescent="0.2">
      <c r="A90" s="19" t="s">
        <v>366</v>
      </c>
      <c r="B90" s="37">
        <v>55</v>
      </c>
      <c r="C90" s="19" t="s">
        <v>270</v>
      </c>
      <c r="D90" s="37" t="s">
        <v>281</v>
      </c>
      <c r="E90" s="19" t="s">
        <v>99</v>
      </c>
      <c r="F90" s="19" t="s">
        <v>190</v>
      </c>
      <c r="G90" s="38">
        <v>17972</v>
      </c>
      <c r="H90" s="19" t="s">
        <v>264</v>
      </c>
      <c r="I90" s="37">
        <v>2</v>
      </c>
      <c r="J90" s="39">
        <v>1997.99</v>
      </c>
      <c r="K90" s="39">
        <v>3995.98</v>
      </c>
      <c r="L90" s="19" t="s">
        <v>119</v>
      </c>
      <c r="M90" s="19" t="s">
        <v>113</v>
      </c>
      <c r="N90" s="19" t="s">
        <v>114</v>
      </c>
      <c r="O90" s="19" t="s">
        <v>176</v>
      </c>
      <c r="P90" s="19" t="s">
        <v>190</v>
      </c>
      <c r="Q90" s="40">
        <v>45501</v>
      </c>
      <c r="R90" s="19" t="str">
        <f ca="1">IF(AND(K90&gt;=100000,O90="High"),"Premium Customer",IF(AND(I90&gt;=12,K90&gt;=50000),"Loyal Customer",IF(AND(P90="High",J90&lt;1500),"Bargain Seeker",IF(AND(TODAY()-Q90&gt;180,I90&lt;5),"At Risk","General Customer"))))</f>
        <v>At Risk</v>
      </c>
    </row>
    <row r="91" spans="1:18" ht="15" customHeight="1" x14ac:dyDescent="0.2">
      <c r="A91" s="17" t="s">
        <v>367</v>
      </c>
      <c r="B91" s="41">
        <v>49</v>
      </c>
      <c r="C91" s="17" t="s">
        <v>262</v>
      </c>
      <c r="D91" s="41" t="s">
        <v>290</v>
      </c>
      <c r="E91" s="17" t="s">
        <v>98</v>
      </c>
      <c r="F91" s="17" t="s">
        <v>267</v>
      </c>
      <c r="G91" s="42">
        <v>39111</v>
      </c>
      <c r="H91" s="17" t="s">
        <v>264</v>
      </c>
      <c r="I91" s="41">
        <v>5</v>
      </c>
      <c r="J91" s="43">
        <v>3227.6</v>
      </c>
      <c r="K91" s="43">
        <v>16138</v>
      </c>
      <c r="L91" s="17" t="s">
        <v>115</v>
      </c>
      <c r="M91" s="17" t="s">
        <v>118</v>
      </c>
      <c r="N91" s="17" t="s">
        <v>116</v>
      </c>
      <c r="O91" s="17" t="s">
        <v>176</v>
      </c>
      <c r="P91" s="17" t="s">
        <v>195</v>
      </c>
      <c r="Q91" s="44">
        <v>45976</v>
      </c>
      <c r="R91" s="17" t="str">
        <f ca="1">IF(AND(K91&gt;=100000,O91="High"),"Premium Customer",IF(AND(I91&gt;=12,K91&gt;=50000),"Loyal Customer",IF(AND(P91="High",J91&lt;1500),"Bargain Seeker",IF(AND(TODAY()-Q91&gt;180,I91&lt;5),"At Risk","General Customer"))))</f>
        <v>General Customer</v>
      </c>
    </row>
    <row r="92" spans="1:18" ht="15" customHeight="1" x14ac:dyDescent="0.2">
      <c r="A92" s="19" t="s">
        <v>368</v>
      </c>
      <c r="B92" s="37">
        <v>22</v>
      </c>
      <c r="C92" s="19" t="s">
        <v>262</v>
      </c>
      <c r="D92" s="37" t="s">
        <v>307</v>
      </c>
      <c r="E92" s="19" t="s">
        <v>100</v>
      </c>
      <c r="F92" s="19" t="s">
        <v>267</v>
      </c>
      <c r="G92" s="38">
        <v>35258</v>
      </c>
      <c r="H92" s="19" t="s">
        <v>273</v>
      </c>
      <c r="I92" s="37">
        <v>19</v>
      </c>
      <c r="J92" s="39">
        <v>3414.06</v>
      </c>
      <c r="K92" s="39">
        <v>64867.14</v>
      </c>
      <c r="L92" s="19" t="s">
        <v>121</v>
      </c>
      <c r="M92" s="19" t="s">
        <v>113</v>
      </c>
      <c r="N92" s="19" t="s">
        <v>114</v>
      </c>
      <c r="O92" s="19" t="s">
        <v>195</v>
      </c>
      <c r="P92" s="19" t="s">
        <v>190</v>
      </c>
      <c r="Q92" s="40">
        <v>45706</v>
      </c>
      <c r="R92" s="19" t="str">
        <f ca="1">IF(AND(K92&gt;=100000,O92="High"),"Premium Customer",IF(AND(I92&gt;=12,K92&gt;=50000),"Loyal Customer",IF(AND(P92="High",J92&lt;1500),"Bargain Seeker",IF(AND(TODAY()-Q92&gt;180,I92&lt;5),"At Risk","General Customer"))))</f>
        <v>Loyal Customer</v>
      </c>
    </row>
    <row r="93" spans="1:18" ht="15" customHeight="1" x14ac:dyDescent="0.2">
      <c r="A93" s="17" t="s">
        <v>369</v>
      </c>
      <c r="B93" s="41">
        <v>24</v>
      </c>
      <c r="C93" s="17" t="s">
        <v>262</v>
      </c>
      <c r="D93" s="41" t="s">
        <v>279</v>
      </c>
      <c r="E93" s="17" t="s">
        <v>97</v>
      </c>
      <c r="F93" s="17" t="s">
        <v>267</v>
      </c>
      <c r="G93" s="42">
        <v>39276</v>
      </c>
      <c r="H93" s="17" t="s">
        <v>264</v>
      </c>
      <c r="I93" s="41">
        <v>17</v>
      </c>
      <c r="J93" s="43">
        <v>905.58</v>
      </c>
      <c r="K93" s="43">
        <v>15394.86</v>
      </c>
      <c r="L93" s="17" t="s">
        <v>117</v>
      </c>
      <c r="M93" s="17" t="s">
        <v>113</v>
      </c>
      <c r="N93" s="17" t="s">
        <v>114</v>
      </c>
      <c r="O93" s="17" t="s">
        <v>176</v>
      </c>
      <c r="P93" s="17" t="s">
        <v>176</v>
      </c>
      <c r="Q93" s="44">
        <v>45518</v>
      </c>
      <c r="R93" s="17" t="str">
        <f ca="1">IF(AND(K93&gt;=100000,O93="High"),"Premium Customer",IF(AND(I93&gt;=12,K93&gt;=50000),"Loyal Customer",IF(AND(P93="High",J93&lt;1500),"Bargain Seeker",IF(AND(TODAY()-Q93&gt;180,I93&lt;5),"At Risk","General Customer"))))</f>
        <v>Bargain Seeker</v>
      </c>
    </row>
    <row r="94" spans="1:18" ht="15" customHeight="1" x14ac:dyDescent="0.2">
      <c r="A94" s="19" t="s">
        <v>370</v>
      </c>
      <c r="B94" s="37">
        <v>30</v>
      </c>
      <c r="C94" s="19" t="s">
        <v>270</v>
      </c>
      <c r="D94" s="37" t="s">
        <v>275</v>
      </c>
      <c r="E94" s="19" t="s">
        <v>97</v>
      </c>
      <c r="F94" s="19" t="s">
        <v>176</v>
      </c>
      <c r="G94" s="38">
        <v>96019</v>
      </c>
      <c r="H94" s="19" t="s">
        <v>273</v>
      </c>
      <c r="I94" s="37">
        <v>24</v>
      </c>
      <c r="J94" s="39">
        <v>7678.32</v>
      </c>
      <c r="K94" s="39">
        <v>184279.67999999999</v>
      </c>
      <c r="L94" s="19" t="s">
        <v>119</v>
      </c>
      <c r="M94" s="19" t="s">
        <v>113</v>
      </c>
      <c r="N94" s="19" t="s">
        <v>114</v>
      </c>
      <c r="O94" s="19" t="s">
        <v>195</v>
      </c>
      <c r="P94" s="19" t="s">
        <v>190</v>
      </c>
      <c r="Q94" s="40">
        <v>45397</v>
      </c>
      <c r="R94" s="19" t="str">
        <f ca="1">IF(AND(K94&gt;=100000,O94="High"),"Premium Customer",IF(AND(I94&gt;=12,K94&gt;=50000),"Loyal Customer",IF(AND(P94="High",J94&lt;1500),"Bargain Seeker",IF(AND(TODAY()-Q94&gt;180,I94&lt;5),"At Risk","General Customer"))))</f>
        <v>Loyal Customer</v>
      </c>
    </row>
    <row r="95" spans="1:18" ht="15" customHeight="1" x14ac:dyDescent="0.2">
      <c r="A95" s="17" t="s">
        <v>371</v>
      </c>
      <c r="B95" s="41">
        <v>58</v>
      </c>
      <c r="C95" s="17" t="s">
        <v>262</v>
      </c>
      <c r="D95" s="41" t="s">
        <v>279</v>
      </c>
      <c r="E95" s="17" t="s">
        <v>97</v>
      </c>
      <c r="F95" s="17" t="s">
        <v>190</v>
      </c>
      <c r="G95" s="42">
        <v>18095</v>
      </c>
      <c r="H95" s="17" t="s">
        <v>273</v>
      </c>
      <c r="I95" s="41">
        <v>22</v>
      </c>
      <c r="J95" s="43">
        <v>7415.99</v>
      </c>
      <c r="K95" s="43">
        <v>163151.78</v>
      </c>
      <c r="L95" s="17" t="s">
        <v>121</v>
      </c>
      <c r="M95" s="17" t="s">
        <v>113</v>
      </c>
      <c r="N95" s="17" t="s">
        <v>114</v>
      </c>
      <c r="O95" s="17" t="s">
        <v>195</v>
      </c>
      <c r="P95" s="17" t="s">
        <v>195</v>
      </c>
      <c r="Q95" s="44">
        <v>45931</v>
      </c>
      <c r="R95" s="17" t="str">
        <f ca="1">IF(AND(K95&gt;=100000,O95="High"),"Premium Customer",IF(AND(I95&gt;=12,K95&gt;=50000),"Loyal Customer",IF(AND(P95="High",J95&lt;1500),"Bargain Seeker",IF(AND(TODAY()-Q95&gt;180,I95&lt;5),"At Risk","General Customer"))))</f>
        <v>Loyal Customer</v>
      </c>
    </row>
    <row r="96" spans="1:18" ht="15" customHeight="1" x14ac:dyDescent="0.2">
      <c r="A96" s="19" t="s">
        <v>372</v>
      </c>
      <c r="B96" s="37">
        <v>37</v>
      </c>
      <c r="C96" s="19" t="s">
        <v>262</v>
      </c>
      <c r="D96" s="37" t="s">
        <v>285</v>
      </c>
      <c r="E96" s="19" t="s">
        <v>100</v>
      </c>
      <c r="F96" s="19" t="s">
        <v>190</v>
      </c>
      <c r="G96" s="38">
        <v>23047</v>
      </c>
      <c r="H96" s="19" t="s">
        <v>282</v>
      </c>
      <c r="I96" s="37">
        <v>12</v>
      </c>
      <c r="J96" s="39">
        <v>4206.49</v>
      </c>
      <c r="K96" s="39">
        <v>50477.88</v>
      </c>
      <c r="L96" s="19" t="s">
        <v>120</v>
      </c>
      <c r="M96" s="19" t="s">
        <v>113</v>
      </c>
      <c r="N96" s="19" t="s">
        <v>116</v>
      </c>
      <c r="O96" s="19" t="s">
        <v>195</v>
      </c>
      <c r="P96" s="19" t="s">
        <v>195</v>
      </c>
      <c r="Q96" s="40">
        <v>45350</v>
      </c>
      <c r="R96" s="19" t="str">
        <f ca="1">IF(AND(K96&gt;=100000,O96="High"),"Premium Customer",IF(AND(I96&gt;=12,K96&gt;=50000),"Loyal Customer",IF(AND(P96="High",J96&lt;1500),"Bargain Seeker",IF(AND(TODAY()-Q96&gt;180,I96&lt;5),"At Risk","General Customer"))))</f>
        <v>Loyal Customer</v>
      </c>
    </row>
    <row r="97" spans="1:18" ht="15" customHeight="1" x14ac:dyDescent="0.2">
      <c r="A97" s="17" t="s">
        <v>373</v>
      </c>
      <c r="B97" s="41">
        <v>47</v>
      </c>
      <c r="C97" s="17" t="s">
        <v>270</v>
      </c>
      <c r="D97" s="41" t="s">
        <v>263</v>
      </c>
      <c r="E97" s="17" t="s">
        <v>97</v>
      </c>
      <c r="F97" s="17" t="s">
        <v>176</v>
      </c>
      <c r="G97" s="42">
        <v>55376</v>
      </c>
      <c r="H97" s="17" t="s">
        <v>268</v>
      </c>
      <c r="I97" s="41">
        <v>15</v>
      </c>
      <c r="J97" s="43">
        <v>7299.68</v>
      </c>
      <c r="K97" s="43">
        <v>109495.2</v>
      </c>
      <c r="L97" s="17" t="s">
        <v>117</v>
      </c>
      <c r="M97" s="17" t="s">
        <v>113</v>
      </c>
      <c r="N97" s="17" t="s">
        <v>116</v>
      </c>
      <c r="O97" s="17" t="s">
        <v>195</v>
      </c>
      <c r="P97" s="17" t="s">
        <v>190</v>
      </c>
      <c r="Q97" s="44">
        <v>45911</v>
      </c>
      <c r="R97" s="17" t="str">
        <f ca="1">IF(AND(K97&gt;=100000,O97="High"),"Premium Customer",IF(AND(I97&gt;=12,K97&gt;=50000),"Loyal Customer",IF(AND(P97="High",J97&lt;1500),"Bargain Seeker",IF(AND(TODAY()-Q97&gt;180,I97&lt;5),"At Risk","General Customer"))))</f>
        <v>Loyal Customer</v>
      </c>
    </row>
    <row r="98" spans="1:18" ht="15" customHeight="1" x14ac:dyDescent="0.2">
      <c r="A98" s="19" t="s">
        <v>374</v>
      </c>
      <c r="B98" s="37">
        <v>23</v>
      </c>
      <c r="C98" s="19" t="s">
        <v>284</v>
      </c>
      <c r="D98" s="37" t="s">
        <v>285</v>
      </c>
      <c r="E98" s="19" t="s">
        <v>100</v>
      </c>
      <c r="F98" s="19" t="s">
        <v>190</v>
      </c>
      <c r="G98" s="38">
        <v>18266</v>
      </c>
      <c r="H98" s="19" t="s">
        <v>264</v>
      </c>
      <c r="I98" s="37">
        <v>2</v>
      </c>
      <c r="J98" s="39">
        <v>2207.63</v>
      </c>
      <c r="K98" s="39">
        <v>4415.26</v>
      </c>
      <c r="L98" s="19" t="s">
        <v>121</v>
      </c>
      <c r="M98" s="19" t="s">
        <v>118</v>
      </c>
      <c r="N98" s="19" t="s">
        <v>116</v>
      </c>
      <c r="O98" s="19" t="s">
        <v>195</v>
      </c>
      <c r="P98" s="19" t="s">
        <v>195</v>
      </c>
      <c r="Q98" s="40">
        <v>45827</v>
      </c>
      <c r="R98" s="19" t="str">
        <f ca="1">IF(AND(K98&gt;=100000,O98="High"),"Premium Customer",IF(AND(I98&gt;=12,K98&gt;=50000),"Loyal Customer",IF(AND(P98="High",J98&lt;1500),"Bargain Seeker",IF(AND(TODAY()-Q98&gt;180,I98&lt;5),"At Risk","General Customer"))))</f>
        <v>At Risk</v>
      </c>
    </row>
    <row r="99" spans="1:18" ht="15" customHeight="1" x14ac:dyDescent="0.2">
      <c r="A99" s="17" t="s">
        <v>375</v>
      </c>
      <c r="B99" s="41">
        <v>61</v>
      </c>
      <c r="C99" s="17" t="s">
        <v>270</v>
      </c>
      <c r="D99" s="41" t="s">
        <v>290</v>
      </c>
      <c r="E99" s="17" t="s">
        <v>98</v>
      </c>
      <c r="F99" s="17" t="s">
        <v>267</v>
      </c>
      <c r="G99" s="42">
        <v>26715</v>
      </c>
      <c r="H99" s="17" t="s">
        <v>282</v>
      </c>
      <c r="I99" s="41">
        <v>3</v>
      </c>
      <c r="J99" s="43">
        <v>2838.62</v>
      </c>
      <c r="K99" s="43">
        <v>8515.86</v>
      </c>
      <c r="L99" s="17" t="s">
        <v>117</v>
      </c>
      <c r="M99" s="17" t="s">
        <v>118</v>
      </c>
      <c r="N99" s="17" t="s">
        <v>116</v>
      </c>
      <c r="O99" s="17" t="s">
        <v>195</v>
      </c>
      <c r="P99" s="17" t="s">
        <v>195</v>
      </c>
      <c r="Q99" s="44">
        <v>45550</v>
      </c>
      <c r="R99" s="17" t="str">
        <f ca="1">IF(AND(K99&gt;=100000,O99="High"),"Premium Customer",IF(AND(I99&gt;=12,K99&gt;=50000),"Loyal Customer",IF(AND(P99="High",J99&lt;1500),"Bargain Seeker",IF(AND(TODAY()-Q99&gt;180,I99&lt;5),"At Risk","General Customer"))))</f>
        <v>At Risk</v>
      </c>
    </row>
    <row r="100" spans="1:18" ht="15" customHeight="1" x14ac:dyDescent="0.2">
      <c r="A100" s="19" t="s">
        <v>376</v>
      </c>
      <c r="B100" s="37">
        <v>37</v>
      </c>
      <c r="C100" s="19" t="s">
        <v>270</v>
      </c>
      <c r="D100" s="37" t="s">
        <v>263</v>
      </c>
      <c r="E100" s="19" t="s">
        <v>97</v>
      </c>
      <c r="F100" s="19" t="s">
        <v>176</v>
      </c>
      <c r="G100" s="38">
        <v>101374</v>
      </c>
      <c r="H100" s="19" t="s">
        <v>276</v>
      </c>
      <c r="I100" s="37">
        <v>5</v>
      </c>
      <c r="J100" s="39">
        <v>4881.82</v>
      </c>
      <c r="K100" s="39">
        <v>24409.1</v>
      </c>
      <c r="L100" s="19" t="s">
        <v>121</v>
      </c>
      <c r="M100" s="19" t="s">
        <v>113</v>
      </c>
      <c r="N100" s="19" t="s">
        <v>116</v>
      </c>
      <c r="O100" s="19" t="s">
        <v>176</v>
      </c>
      <c r="P100" s="19" t="s">
        <v>195</v>
      </c>
      <c r="Q100" s="40">
        <v>45677</v>
      </c>
      <c r="R100" s="19" t="str">
        <f ca="1">IF(AND(K100&gt;=100000,O100="High"),"Premium Customer",IF(AND(I100&gt;=12,K100&gt;=50000),"Loyal Customer",IF(AND(P100="High",J100&lt;1500),"Bargain Seeker",IF(AND(TODAY()-Q100&gt;180,I100&lt;5),"At Risk","General Customer"))))</f>
        <v>General Customer</v>
      </c>
    </row>
    <row r="101" spans="1:18" ht="15" customHeight="1" x14ac:dyDescent="0.2">
      <c r="A101" s="17" t="s">
        <v>377</v>
      </c>
      <c r="B101" s="41">
        <v>19</v>
      </c>
      <c r="C101" s="17" t="s">
        <v>270</v>
      </c>
      <c r="D101" s="41" t="s">
        <v>275</v>
      </c>
      <c r="E101" s="17" t="s">
        <v>97</v>
      </c>
      <c r="F101" s="17" t="s">
        <v>190</v>
      </c>
      <c r="G101" s="42">
        <v>15940</v>
      </c>
      <c r="H101" s="17" t="s">
        <v>282</v>
      </c>
      <c r="I101" s="41">
        <v>7</v>
      </c>
      <c r="J101" s="43">
        <v>2931.34</v>
      </c>
      <c r="K101" s="43">
        <v>20519.38</v>
      </c>
      <c r="L101" s="17" t="s">
        <v>120</v>
      </c>
      <c r="M101" s="17" t="s">
        <v>113</v>
      </c>
      <c r="N101" s="17" t="s">
        <v>114</v>
      </c>
      <c r="O101" s="17" t="s">
        <v>176</v>
      </c>
      <c r="P101" s="17" t="s">
        <v>190</v>
      </c>
      <c r="Q101" s="44">
        <v>45432</v>
      </c>
      <c r="R101" s="17" t="str">
        <f ca="1">IF(AND(K101&gt;=100000,O101="High"),"Premium Customer",IF(AND(I101&gt;=12,K101&gt;=50000),"Loyal Customer",IF(AND(P101="High",J101&lt;1500),"Bargain Seeker",IF(AND(TODAY()-Q101&gt;180,I101&lt;5),"At Risk","General Customer"))))</f>
        <v>General Customer</v>
      </c>
    </row>
    <row r="102" spans="1:18" ht="15" customHeight="1" x14ac:dyDescent="0.2">
      <c r="A102" s="19" t="s">
        <v>378</v>
      </c>
      <c r="B102" s="37">
        <v>39</v>
      </c>
      <c r="C102" s="19" t="s">
        <v>262</v>
      </c>
      <c r="D102" s="37" t="s">
        <v>275</v>
      </c>
      <c r="E102" s="19" t="s">
        <v>97</v>
      </c>
      <c r="F102" s="19" t="s">
        <v>176</v>
      </c>
      <c r="G102" s="38">
        <v>67176</v>
      </c>
      <c r="H102" s="19" t="s">
        <v>268</v>
      </c>
      <c r="I102" s="37">
        <v>20</v>
      </c>
      <c r="J102" s="39">
        <v>3200.74</v>
      </c>
      <c r="K102" s="39">
        <v>64014.8</v>
      </c>
      <c r="L102" s="19" t="s">
        <v>117</v>
      </c>
      <c r="M102" s="19" t="s">
        <v>118</v>
      </c>
      <c r="N102" s="19" t="s">
        <v>116</v>
      </c>
      <c r="O102" s="19" t="s">
        <v>190</v>
      </c>
      <c r="P102" s="19" t="s">
        <v>176</v>
      </c>
      <c r="Q102" s="40">
        <v>45931</v>
      </c>
      <c r="R102" s="19" t="str">
        <f ca="1">IF(AND(K102&gt;=100000,O102="High"),"Premium Customer",IF(AND(I102&gt;=12,K102&gt;=50000),"Loyal Customer",IF(AND(P102="High",J102&lt;1500),"Bargain Seeker",IF(AND(TODAY()-Q102&gt;180,I102&lt;5),"At Risk","General Customer"))))</f>
        <v>Loyal Customer</v>
      </c>
    </row>
    <row r="103" spans="1:18" ht="15" customHeight="1" x14ac:dyDescent="0.2">
      <c r="A103" s="17" t="s">
        <v>379</v>
      </c>
      <c r="B103" s="41">
        <v>33</v>
      </c>
      <c r="C103" s="17" t="s">
        <v>270</v>
      </c>
      <c r="D103" s="41" t="s">
        <v>307</v>
      </c>
      <c r="E103" s="17" t="s">
        <v>100</v>
      </c>
      <c r="F103" s="17" t="s">
        <v>267</v>
      </c>
      <c r="G103" s="42">
        <v>45007</v>
      </c>
      <c r="H103" s="17" t="s">
        <v>264</v>
      </c>
      <c r="I103" s="41">
        <v>24</v>
      </c>
      <c r="J103" s="43">
        <v>6335.26</v>
      </c>
      <c r="K103" s="43">
        <v>152046.24</v>
      </c>
      <c r="L103" s="17" t="s">
        <v>119</v>
      </c>
      <c r="M103" s="17" t="s">
        <v>118</v>
      </c>
      <c r="N103" s="17" t="s">
        <v>116</v>
      </c>
      <c r="O103" s="17" t="s">
        <v>190</v>
      </c>
      <c r="P103" s="17" t="s">
        <v>190</v>
      </c>
      <c r="Q103" s="44">
        <v>45772</v>
      </c>
      <c r="R103" s="17" t="str">
        <f ca="1">IF(AND(K103&gt;=100000,O103="High"),"Premium Customer",IF(AND(I103&gt;=12,K103&gt;=50000),"Loyal Customer",IF(AND(P103="High",J103&lt;1500),"Bargain Seeker",IF(AND(TODAY()-Q103&gt;180,I103&lt;5),"At Risk","General Customer"))))</f>
        <v>Loyal Customer</v>
      </c>
    </row>
    <row r="104" spans="1:18" ht="15" customHeight="1" x14ac:dyDescent="0.2">
      <c r="A104" s="19" t="s">
        <v>380</v>
      </c>
      <c r="B104" s="37">
        <v>42</v>
      </c>
      <c r="C104" s="19" t="s">
        <v>270</v>
      </c>
      <c r="D104" s="37" t="s">
        <v>279</v>
      </c>
      <c r="E104" s="19" t="s">
        <v>97</v>
      </c>
      <c r="F104" s="19" t="s">
        <v>267</v>
      </c>
      <c r="G104" s="38">
        <v>42283</v>
      </c>
      <c r="H104" s="19" t="s">
        <v>282</v>
      </c>
      <c r="I104" s="37">
        <v>6</v>
      </c>
      <c r="J104" s="39">
        <v>6590.06</v>
      </c>
      <c r="K104" s="39">
        <v>39540.36</v>
      </c>
      <c r="L104" s="19" t="s">
        <v>123</v>
      </c>
      <c r="M104" s="19" t="s">
        <v>118</v>
      </c>
      <c r="N104" s="19" t="s">
        <v>114</v>
      </c>
      <c r="O104" s="19" t="s">
        <v>176</v>
      </c>
      <c r="P104" s="19" t="s">
        <v>190</v>
      </c>
      <c r="Q104" s="40">
        <v>45548</v>
      </c>
      <c r="R104" s="19" t="str">
        <f ca="1">IF(AND(K104&gt;=100000,O104="High"),"Premium Customer",IF(AND(I104&gt;=12,K104&gt;=50000),"Loyal Customer",IF(AND(P104="High",J104&lt;1500),"Bargain Seeker",IF(AND(TODAY()-Q104&gt;180,I104&lt;5),"At Risk","General Customer"))))</f>
        <v>General Customer</v>
      </c>
    </row>
    <row r="105" spans="1:18" ht="15" customHeight="1" x14ac:dyDescent="0.2">
      <c r="A105" s="17" t="s">
        <v>381</v>
      </c>
      <c r="B105" s="41">
        <v>36</v>
      </c>
      <c r="C105" s="17" t="s">
        <v>270</v>
      </c>
      <c r="D105" s="41" t="s">
        <v>275</v>
      </c>
      <c r="E105" s="17" t="s">
        <v>97</v>
      </c>
      <c r="F105" s="17" t="s">
        <v>190</v>
      </c>
      <c r="G105" s="42">
        <v>11374</v>
      </c>
      <c r="H105" s="17" t="s">
        <v>268</v>
      </c>
      <c r="I105" s="41">
        <v>15</v>
      </c>
      <c r="J105" s="43">
        <v>7270.86</v>
      </c>
      <c r="K105" s="43">
        <v>109062.9</v>
      </c>
      <c r="L105" s="17" t="s">
        <v>121</v>
      </c>
      <c r="M105" s="17" t="s">
        <v>113</v>
      </c>
      <c r="N105" s="17" t="s">
        <v>116</v>
      </c>
      <c r="O105" s="17" t="s">
        <v>190</v>
      </c>
      <c r="P105" s="17" t="s">
        <v>195</v>
      </c>
      <c r="Q105" s="44">
        <v>45519</v>
      </c>
      <c r="R105" s="17" t="str">
        <f ca="1">IF(AND(K105&gt;=100000,O105="High"),"Premium Customer",IF(AND(I105&gt;=12,K105&gt;=50000),"Loyal Customer",IF(AND(P105="High",J105&lt;1500),"Bargain Seeker",IF(AND(TODAY()-Q105&gt;180,I105&lt;5),"At Risk","General Customer"))))</f>
        <v>Loyal Customer</v>
      </c>
    </row>
    <row r="106" spans="1:18" ht="15" customHeight="1" x14ac:dyDescent="0.2">
      <c r="A106" s="19" t="s">
        <v>382</v>
      </c>
      <c r="B106" s="37">
        <v>33</v>
      </c>
      <c r="C106" s="19" t="s">
        <v>270</v>
      </c>
      <c r="D106" s="37" t="s">
        <v>281</v>
      </c>
      <c r="E106" s="19" t="s">
        <v>99</v>
      </c>
      <c r="F106" s="19" t="s">
        <v>190</v>
      </c>
      <c r="G106" s="38">
        <v>16326</v>
      </c>
      <c r="H106" s="19" t="s">
        <v>282</v>
      </c>
      <c r="I106" s="37">
        <v>8</v>
      </c>
      <c r="J106" s="39">
        <v>517.04</v>
      </c>
      <c r="K106" s="39">
        <v>4136.32</v>
      </c>
      <c r="L106" s="19" t="s">
        <v>117</v>
      </c>
      <c r="M106" s="19" t="s">
        <v>113</v>
      </c>
      <c r="N106" s="19" t="s">
        <v>114</v>
      </c>
      <c r="O106" s="19" t="s">
        <v>176</v>
      </c>
      <c r="P106" s="19" t="s">
        <v>176</v>
      </c>
      <c r="Q106" s="40">
        <v>45957</v>
      </c>
      <c r="R106" s="19" t="str">
        <f ca="1">IF(AND(K106&gt;=100000,O106="High"),"Premium Customer",IF(AND(I106&gt;=12,K106&gt;=50000),"Loyal Customer",IF(AND(P106="High",J106&lt;1500),"Bargain Seeker",IF(AND(TODAY()-Q106&gt;180,I106&lt;5),"At Risk","General Customer"))))</f>
        <v>Bargain Seeker</v>
      </c>
    </row>
    <row r="107" spans="1:18" ht="15" customHeight="1" x14ac:dyDescent="0.2">
      <c r="A107" s="17" t="s">
        <v>383</v>
      </c>
      <c r="B107" s="41">
        <v>26</v>
      </c>
      <c r="C107" s="17" t="s">
        <v>270</v>
      </c>
      <c r="D107" s="41" t="s">
        <v>307</v>
      </c>
      <c r="E107" s="17" t="s">
        <v>100</v>
      </c>
      <c r="F107" s="17" t="s">
        <v>267</v>
      </c>
      <c r="G107" s="42">
        <v>48119</v>
      </c>
      <c r="H107" s="17" t="s">
        <v>282</v>
      </c>
      <c r="I107" s="41">
        <v>15</v>
      </c>
      <c r="J107" s="43">
        <v>5038.18</v>
      </c>
      <c r="K107" s="43">
        <v>75572.7</v>
      </c>
      <c r="L107" s="17" t="s">
        <v>122</v>
      </c>
      <c r="M107" s="17" t="s">
        <v>113</v>
      </c>
      <c r="N107" s="17" t="s">
        <v>116</v>
      </c>
      <c r="O107" s="17" t="s">
        <v>176</v>
      </c>
      <c r="P107" s="17" t="s">
        <v>190</v>
      </c>
      <c r="Q107" s="44">
        <v>45512</v>
      </c>
      <c r="R107" s="17" t="str">
        <f ca="1">IF(AND(K107&gt;=100000,O107="High"),"Premium Customer",IF(AND(I107&gt;=12,K107&gt;=50000),"Loyal Customer",IF(AND(P107="High",J107&lt;1500),"Bargain Seeker",IF(AND(TODAY()-Q107&gt;180,I107&lt;5),"At Risk","General Customer"))))</f>
        <v>Loyal Customer</v>
      </c>
    </row>
    <row r="108" spans="1:18" ht="15" customHeight="1" x14ac:dyDescent="0.2">
      <c r="A108" s="19" t="s">
        <v>384</v>
      </c>
      <c r="B108" s="37">
        <v>33</v>
      </c>
      <c r="C108" s="19" t="s">
        <v>262</v>
      </c>
      <c r="D108" s="37" t="s">
        <v>290</v>
      </c>
      <c r="E108" s="19" t="s">
        <v>98</v>
      </c>
      <c r="F108" s="19" t="s">
        <v>190</v>
      </c>
      <c r="G108" s="38">
        <v>16878</v>
      </c>
      <c r="H108" s="19" t="s">
        <v>264</v>
      </c>
      <c r="I108" s="37">
        <v>3</v>
      </c>
      <c r="J108" s="39">
        <v>1153.6099999999999</v>
      </c>
      <c r="K108" s="39">
        <v>3460.83</v>
      </c>
      <c r="L108" s="19" t="s">
        <v>119</v>
      </c>
      <c r="M108" s="19" t="s">
        <v>113</v>
      </c>
      <c r="N108" s="19" t="s">
        <v>116</v>
      </c>
      <c r="O108" s="19" t="s">
        <v>176</v>
      </c>
      <c r="P108" s="19" t="s">
        <v>195</v>
      </c>
      <c r="Q108" s="40">
        <v>45308</v>
      </c>
      <c r="R108" s="19" t="str">
        <f ca="1">IF(AND(K108&gt;=100000,O108="High"),"Premium Customer",IF(AND(I108&gt;=12,K108&gt;=50000),"Loyal Customer",IF(AND(P108="High",J108&lt;1500),"Bargain Seeker",IF(AND(TODAY()-Q108&gt;180,I108&lt;5),"At Risk","General Customer"))))</f>
        <v>At Risk</v>
      </c>
    </row>
    <row r="109" spans="1:18" ht="15" customHeight="1" x14ac:dyDescent="0.2">
      <c r="A109" s="17" t="s">
        <v>385</v>
      </c>
      <c r="B109" s="41">
        <v>33</v>
      </c>
      <c r="C109" s="17" t="s">
        <v>270</v>
      </c>
      <c r="D109" s="41" t="s">
        <v>290</v>
      </c>
      <c r="E109" s="17" t="s">
        <v>98</v>
      </c>
      <c r="F109" s="17" t="s">
        <v>267</v>
      </c>
      <c r="G109" s="42">
        <v>38650</v>
      </c>
      <c r="H109" s="17" t="s">
        <v>273</v>
      </c>
      <c r="I109" s="41">
        <v>22</v>
      </c>
      <c r="J109" s="43">
        <v>5445.25</v>
      </c>
      <c r="K109" s="43">
        <v>119795.5</v>
      </c>
      <c r="L109" s="17" t="s">
        <v>112</v>
      </c>
      <c r="M109" s="17" t="s">
        <v>118</v>
      </c>
      <c r="N109" s="17" t="s">
        <v>116</v>
      </c>
      <c r="O109" s="17" t="s">
        <v>195</v>
      </c>
      <c r="P109" s="17" t="s">
        <v>195</v>
      </c>
      <c r="Q109" s="44">
        <v>45830</v>
      </c>
      <c r="R109" s="17" t="str">
        <f ca="1">IF(AND(K109&gt;=100000,O109="High"),"Premium Customer",IF(AND(I109&gt;=12,K109&gt;=50000),"Loyal Customer",IF(AND(P109="High",J109&lt;1500),"Bargain Seeker",IF(AND(TODAY()-Q109&gt;180,I109&lt;5),"At Risk","General Customer"))))</f>
        <v>Loyal Customer</v>
      </c>
    </row>
    <row r="110" spans="1:18" ht="15" customHeight="1" x14ac:dyDescent="0.2">
      <c r="A110" s="19" t="s">
        <v>386</v>
      </c>
      <c r="B110" s="37">
        <v>34</v>
      </c>
      <c r="C110" s="19" t="s">
        <v>284</v>
      </c>
      <c r="D110" s="37" t="s">
        <v>285</v>
      </c>
      <c r="E110" s="19" t="s">
        <v>100</v>
      </c>
      <c r="F110" s="19" t="s">
        <v>190</v>
      </c>
      <c r="G110" s="38">
        <v>22244</v>
      </c>
      <c r="H110" s="19" t="s">
        <v>282</v>
      </c>
      <c r="I110" s="37">
        <v>3</v>
      </c>
      <c r="J110" s="39">
        <v>2954.98</v>
      </c>
      <c r="K110" s="39">
        <v>8864.94</v>
      </c>
      <c r="L110" s="19" t="s">
        <v>121</v>
      </c>
      <c r="M110" s="19" t="s">
        <v>113</v>
      </c>
      <c r="N110" s="19" t="s">
        <v>116</v>
      </c>
      <c r="O110" s="19" t="s">
        <v>176</v>
      </c>
      <c r="P110" s="19" t="s">
        <v>195</v>
      </c>
      <c r="Q110" s="40">
        <v>45887</v>
      </c>
      <c r="R110" s="19" t="str">
        <f ca="1">IF(AND(K110&gt;=100000,O110="High"),"Premium Customer",IF(AND(I110&gt;=12,K110&gt;=50000),"Loyal Customer",IF(AND(P110="High",J110&lt;1500),"Bargain Seeker",IF(AND(TODAY()-Q110&gt;180,I110&lt;5),"At Risk","General Customer"))))</f>
        <v>At Risk</v>
      </c>
    </row>
    <row r="111" spans="1:18" ht="15" customHeight="1" x14ac:dyDescent="0.2">
      <c r="A111" s="17" t="s">
        <v>387</v>
      </c>
      <c r="B111" s="41">
        <v>59</v>
      </c>
      <c r="C111" s="17" t="s">
        <v>262</v>
      </c>
      <c r="D111" s="41" t="s">
        <v>307</v>
      </c>
      <c r="E111" s="17" t="s">
        <v>100</v>
      </c>
      <c r="F111" s="17" t="s">
        <v>267</v>
      </c>
      <c r="G111" s="42">
        <v>47435</v>
      </c>
      <c r="H111" s="17" t="s">
        <v>268</v>
      </c>
      <c r="I111" s="41">
        <v>23</v>
      </c>
      <c r="J111" s="43">
        <v>3984.69</v>
      </c>
      <c r="K111" s="43">
        <v>91647.87</v>
      </c>
      <c r="L111" s="17" t="s">
        <v>119</v>
      </c>
      <c r="M111" s="17" t="s">
        <v>113</v>
      </c>
      <c r="N111" s="17" t="s">
        <v>114</v>
      </c>
      <c r="O111" s="17" t="s">
        <v>190</v>
      </c>
      <c r="P111" s="17" t="s">
        <v>190</v>
      </c>
      <c r="Q111" s="44">
        <v>45760</v>
      </c>
      <c r="R111" s="17" t="str">
        <f ca="1">IF(AND(K111&gt;=100000,O111="High"),"Premium Customer",IF(AND(I111&gt;=12,K111&gt;=50000),"Loyal Customer",IF(AND(P111="High",J111&lt;1500),"Bargain Seeker",IF(AND(TODAY()-Q111&gt;180,I111&lt;5),"At Risk","General Customer"))))</f>
        <v>Loyal Customer</v>
      </c>
    </row>
    <row r="112" spans="1:18" ht="15" customHeight="1" x14ac:dyDescent="0.2">
      <c r="A112" s="19" t="s">
        <v>388</v>
      </c>
      <c r="B112" s="37">
        <v>50</v>
      </c>
      <c r="C112" s="19" t="s">
        <v>270</v>
      </c>
      <c r="D112" s="37" t="s">
        <v>266</v>
      </c>
      <c r="E112" s="19" t="s">
        <v>98</v>
      </c>
      <c r="F112" s="19" t="s">
        <v>190</v>
      </c>
      <c r="G112" s="38">
        <v>16524</v>
      </c>
      <c r="H112" s="19" t="s">
        <v>264</v>
      </c>
      <c r="I112" s="37">
        <v>9</v>
      </c>
      <c r="J112" s="39">
        <v>581.98</v>
      </c>
      <c r="K112" s="39">
        <v>5237.82</v>
      </c>
      <c r="L112" s="19" t="s">
        <v>121</v>
      </c>
      <c r="M112" s="19" t="s">
        <v>118</v>
      </c>
      <c r="N112" s="19" t="s">
        <v>116</v>
      </c>
      <c r="O112" s="19" t="s">
        <v>195</v>
      </c>
      <c r="P112" s="19" t="s">
        <v>190</v>
      </c>
      <c r="Q112" s="40">
        <v>45340</v>
      </c>
      <c r="R112" s="19" t="str">
        <f ca="1">IF(AND(K112&gt;=100000,O112="High"),"Premium Customer",IF(AND(I112&gt;=12,K112&gt;=50000),"Loyal Customer",IF(AND(P112="High",J112&lt;1500),"Bargain Seeker",IF(AND(TODAY()-Q112&gt;180,I112&lt;5),"At Risk","General Customer"))))</f>
        <v>General Customer</v>
      </c>
    </row>
    <row r="113" spans="1:18" ht="15" customHeight="1" x14ac:dyDescent="0.2">
      <c r="A113" s="17" t="s">
        <v>389</v>
      </c>
      <c r="B113" s="41">
        <v>65</v>
      </c>
      <c r="C113" s="17" t="s">
        <v>270</v>
      </c>
      <c r="D113" s="41" t="s">
        <v>263</v>
      </c>
      <c r="E113" s="17" t="s">
        <v>97</v>
      </c>
      <c r="F113" s="17" t="s">
        <v>267</v>
      </c>
      <c r="G113" s="42">
        <v>37669</v>
      </c>
      <c r="H113" s="17" t="s">
        <v>282</v>
      </c>
      <c r="I113" s="41">
        <v>6</v>
      </c>
      <c r="J113" s="43">
        <v>4120.76</v>
      </c>
      <c r="K113" s="43">
        <v>24724.560000000001</v>
      </c>
      <c r="L113" s="17" t="s">
        <v>115</v>
      </c>
      <c r="M113" s="17" t="s">
        <v>118</v>
      </c>
      <c r="N113" s="17" t="s">
        <v>114</v>
      </c>
      <c r="O113" s="17" t="s">
        <v>195</v>
      </c>
      <c r="P113" s="17" t="s">
        <v>176</v>
      </c>
      <c r="Q113" s="44">
        <v>45823</v>
      </c>
      <c r="R113" s="17" t="str">
        <f ca="1">IF(AND(K113&gt;=100000,O113="High"),"Premium Customer",IF(AND(I113&gt;=12,K113&gt;=50000),"Loyal Customer",IF(AND(P113="High",J113&lt;1500),"Bargain Seeker",IF(AND(TODAY()-Q113&gt;180,I113&lt;5),"At Risk","General Customer"))))</f>
        <v>General Customer</v>
      </c>
    </row>
    <row r="114" spans="1:18" ht="15" customHeight="1" x14ac:dyDescent="0.2">
      <c r="A114" s="19" t="s">
        <v>390</v>
      </c>
      <c r="B114" s="37">
        <v>29</v>
      </c>
      <c r="C114" s="19" t="s">
        <v>284</v>
      </c>
      <c r="D114" s="37" t="s">
        <v>263</v>
      </c>
      <c r="E114" s="19" t="s">
        <v>97</v>
      </c>
      <c r="F114" s="19" t="s">
        <v>267</v>
      </c>
      <c r="G114" s="38">
        <v>34626</v>
      </c>
      <c r="H114" s="19" t="s">
        <v>268</v>
      </c>
      <c r="I114" s="37">
        <v>4</v>
      </c>
      <c r="J114" s="39">
        <v>916.53</v>
      </c>
      <c r="K114" s="39">
        <v>3666.12</v>
      </c>
      <c r="L114" s="19" t="s">
        <v>117</v>
      </c>
      <c r="M114" s="19" t="s">
        <v>118</v>
      </c>
      <c r="N114" s="19" t="s">
        <v>116</v>
      </c>
      <c r="O114" s="19" t="s">
        <v>195</v>
      </c>
      <c r="P114" s="19" t="s">
        <v>195</v>
      </c>
      <c r="Q114" s="40">
        <v>45909</v>
      </c>
      <c r="R114" s="19" t="str">
        <f ca="1">IF(AND(K114&gt;=100000,O114="High"),"Premium Customer",IF(AND(I114&gt;=12,K114&gt;=50000),"Loyal Customer",IF(AND(P114="High",J114&lt;1500),"Bargain Seeker",IF(AND(TODAY()-Q114&gt;180,I114&lt;5),"At Risk","General Customer"))))</f>
        <v>At Risk</v>
      </c>
    </row>
    <row r="115" spans="1:18" ht="15" customHeight="1" x14ac:dyDescent="0.2">
      <c r="A115" s="17" t="s">
        <v>391</v>
      </c>
      <c r="B115" s="41">
        <v>40</v>
      </c>
      <c r="C115" s="17" t="s">
        <v>270</v>
      </c>
      <c r="D115" s="41" t="s">
        <v>271</v>
      </c>
      <c r="E115" s="17" t="s">
        <v>100</v>
      </c>
      <c r="F115" s="17" t="s">
        <v>267</v>
      </c>
      <c r="G115" s="42">
        <v>39252</v>
      </c>
      <c r="H115" s="17" t="s">
        <v>273</v>
      </c>
      <c r="I115" s="41">
        <v>21</v>
      </c>
      <c r="J115" s="43">
        <v>7846.21</v>
      </c>
      <c r="K115" s="43">
        <v>164770.41</v>
      </c>
      <c r="L115" s="17" t="s">
        <v>117</v>
      </c>
      <c r="M115" s="17" t="s">
        <v>113</v>
      </c>
      <c r="N115" s="17" t="s">
        <v>116</v>
      </c>
      <c r="O115" s="17" t="s">
        <v>176</v>
      </c>
      <c r="P115" s="17" t="s">
        <v>190</v>
      </c>
      <c r="Q115" s="44">
        <v>45944</v>
      </c>
      <c r="R115" s="17" t="str">
        <f ca="1">IF(AND(K115&gt;=100000,O115="High"),"Premium Customer",IF(AND(I115&gt;=12,K115&gt;=50000),"Loyal Customer",IF(AND(P115="High",J115&lt;1500),"Bargain Seeker",IF(AND(TODAY()-Q115&gt;180,I115&lt;5),"At Risk","General Customer"))))</f>
        <v>Premium Customer</v>
      </c>
    </row>
    <row r="116" spans="1:18" ht="15" customHeight="1" x14ac:dyDescent="0.2">
      <c r="A116" s="19" t="s">
        <v>392</v>
      </c>
      <c r="B116" s="37">
        <v>22</v>
      </c>
      <c r="C116" s="19" t="s">
        <v>262</v>
      </c>
      <c r="D116" s="37" t="s">
        <v>293</v>
      </c>
      <c r="E116" s="19" t="s">
        <v>98</v>
      </c>
      <c r="F116" s="19" t="s">
        <v>176</v>
      </c>
      <c r="G116" s="38">
        <v>98015</v>
      </c>
      <c r="H116" s="19" t="s">
        <v>282</v>
      </c>
      <c r="I116" s="37">
        <v>12</v>
      </c>
      <c r="J116" s="39">
        <v>3247.98</v>
      </c>
      <c r="K116" s="39">
        <v>38975.760000000002</v>
      </c>
      <c r="L116" s="19" t="s">
        <v>121</v>
      </c>
      <c r="M116" s="19" t="s">
        <v>118</v>
      </c>
      <c r="N116" s="19" t="s">
        <v>116</v>
      </c>
      <c r="O116" s="19" t="s">
        <v>195</v>
      </c>
      <c r="P116" s="19" t="s">
        <v>195</v>
      </c>
      <c r="Q116" s="40">
        <v>45987</v>
      </c>
      <c r="R116" s="19" t="str">
        <f ca="1">IF(AND(K116&gt;=100000,O116="High"),"Premium Customer",IF(AND(I116&gt;=12,K116&gt;=50000),"Loyal Customer",IF(AND(P116="High",J116&lt;1500),"Bargain Seeker",IF(AND(TODAY()-Q116&gt;180,I116&lt;5),"At Risk","General Customer"))))</f>
        <v>General Customer</v>
      </c>
    </row>
    <row r="117" spans="1:18" ht="15" customHeight="1" x14ac:dyDescent="0.2">
      <c r="A117" s="17" t="s">
        <v>393</v>
      </c>
      <c r="B117" s="41">
        <v>41</v>
      </c>
      <c r="C117" s="17" t="s">
        <v>262</v>
      </c>
      <c r="D117" s="41" t="s">
        <v>285</v>
      </c>
      <c r="E117" s="17" t="s">
        <v>100</v>
      </c>
      <c r="F117" s="17" t="s">
        <v>190</v>
      </c>
      <c r="G117" s="42">
        <v>16521</v>
      </c>
      <c r="H117" s="17" t="s">
        <v>268</v>
      </c>
      <c r="I117" s="41">
        <v>8</v>
      </c>
      <c r="J117" s="43">
        <v>7696</v>
      </c>
      <c r="K117" s="43">
        <v>61568</v>
      </c>
      <c r="L117" s="17" t="s">
        <v>115</v>
      </c>
      <c r="M117" s="17" t="s">
        <v>118</v>
      </c>
      <c r="N117" s="17" t="s">
        <v>116</v>
      </c>
      <c r="O117" s="17" t="s">
        <v>190</v>
      </c>
      <c r="P117" s="17" t="s">
        <v>190</v>
      </c>
      <c r="Q117" s="44">
        <v>45822</v>
      </c>
      <c r="R117" s="17" t="str">
        <f ca="1">IF(AND(K117&gt;=100000,O117="High"),"Premium Customer",IF(AND(I117&gt;=12,K117&gt;=50000),"Loyal Customer",IF(AND(P117="High",J117&lt;1500),"Bargain Seeker",IF(AND(TODAY()-Q117&gt;180,I117&lt;5),"At Risk","General Customer"))))</f>
        <v>General Customer</v>
      </c>
    </row>
    <row r="118" spans="1:18" ht="15" customHeight="1" x14ac:dyDescent="0.2">
      <c r="A118" s="19" t="s">
        <v>394</v>
      </c>
      <c r="B118" s="37">
        <v>57</v>
      </c>
      <c r="C118" s="19" t="s">
        <v>262</v>
      </c>
      <c r="D118" s="37" t="s">
        <v>290</v>
      </c>
      <c r="E118" s="19" t="s">
        <v>98</v>
      </c>
      <c r="F118" s="19" t="s">
        <v>176</v>
      </c>
      <c r="G118" s="38">
        <v>114382</v>
      </c>
      <c r="H118" s="19" t="s">
        <v>282</v>
      </c>
      <c r="I118" s="37">
        <v>7</v>
      </c>
      <c r="J118" s="39">
        <v>1244.31</v>
      </c>
      <c r="K118" s="39">
        <v>8710.17</v>
      </c>
      <c r="L118" s="19" t="s">
        <v>115</v>
      </c>
      <c r="M118" s="19" t="s">
        <v>118</v>
      </c>
      <c r="N118" s="19" t="s">
        <v>116</v>
      </c>
      <c r="O118" s="19" t="s">
        <v>176</v>
      </c>
      <c r="P118" s="19" t="s">
        <v>195</v>
      </c>
      <c r="Q118" s="40">
        <v>46022</v>
      </c>
      <c r="R118" s="19" t="str">
        <f ca="1">IF(AND(K118&gt;=100000,O118="High"),"Premium Customer",IF(AND(I118&gt;=12,K118&gt;=50000),"Loyal Customer",IF(AND(P118="High",J118&lt;1500),"Bargain Seeker",IF(AND(TODAY()-Q118&gt;180,I118&lt;5),"At Risk","General Customer"))))</f>
        <v>General Customer</v>
      </c>
    </row>
    <row r="119" spans="1:18" ht="15" customHeight="1" x14ac:dyDescent="0.2">
      <c r="A119" s="17" t="s">
        <v>395</v>
      </c>
      <c r="B119" s="41">
        <v>36</v>
      </c>
      <c r="C119" s="17" t="s">
        <v>270</v>
      </c>
      <c r="D119" s="41" t="s">
        <v>271</v>
      </c>
      <c r="E119" s="17" t="s">
        <v>100</v>
      </c>
      <c r="F119" s="17" t="s">
        <v>176</v>
      </c>
      <c r="G119" s="42">
        <v>70644</v>
      </c>
      <c r="H119" s="17" t="s">
        <v>273</v>
      </c>
      <c r="I119" s="41">
        <v>23</v>
      </c>
      <c r="J119" s="43">
        <v>5763.64</v>
      </c>
      <c r="K119" s="43">
        <v>132563.72</v>
      </c>
      <c r="L119" s="17" t="s">
        <v>115</v>
      </c>
      <c r="M119" s="17" t="s">
        <v>113</v>
      </c>
      <c r="N119" s="17" t="s">
        <v>116</v>
      </c>
      <c r="O119" s="17" t="s">
        <v>176</v>
      </c>
      <c r="P119" s="17" t="s">
        <v>190</v>
      </c>
      <c r="Q119" s="44">
        <v>45662</v>
      </c>
      <c r="R119" s="17" t="str">
        <f ca="1">IF(AND(K119&gt;=100000,O119="High"),"Premium Customer",IF(AND(I119&gt;=12,K119&gt;=50000),"Loyal Customer",IF(AND(P119="High",J119&lt;1500),"Bargain Seeker",IF(AND(TODAY()-Q119&gt;180,I119&lt;5),"At Risk","General Customer"))))</f>
        <v>Premium Customer</v>
      </c>
    </row>
    <row r="120" spans="1:18" ht="15" customHeight="1" x14ac:dyDescent="0.2">
      <c r="A120" s="19" t="s">
        <v>396</v>
      </c>
      <c r="B120" s="37">
        <v>53</v>
      </c>
      <c r="C120" s="19" t="s">
        <v>262</v>
      </c>
      <c r="D120" s="37" t="s">
        <v>293</v>
      </c>
      <c r="E120" s="19" t="s">
        <v>98</v>
      </c>
      <c r="F120" s="19" t="s">
        <v>190</v>
      </c>
      <c r="G120" s="38">
        <v>19376</v>
      </c>
      <c r="H120" s="19" t="s">
        <v>282</v>
      </c>
      <c r="I120" s="37">
        <v>18</v>
      </c>
      <c r="J120" s="39">
        <v>1299.24</v>
      </c>
      <c r="K120" s="39">
        <v>23386.32</v>
      </c>
      <c r="L120" s="19" t="s">
        <v>123</v>
      </c>
      <c r="M120" s="19" t="s">
        <v>118</v>
      </c>
      <c r="N120" s="19" t="s">
        <v>116</v>
      </c>
      <c r="O120" s="19" t="s">
        <v>176</v>
      </c>
      <c r="P120" s="19" t="s">
        <v>190</v>
      </c>
      <c r="Q120" s="40">
        <v>45699</v>
      </c>
      <c r="R120" s="19" t="str">
        <f ca="1">IF(AND(K120&gt;=100000,O120="High"),"Premium Customer",IF(AND(I120&gt;=12,K120&gt;=50000),"Loyal Customer",IF(AND(P120="High",J120&lt;1500),"Bargain Seeker",IF(AND(TODAY()-Q120&gt;180,I120&lt;5),"At Risk","General Customer"))))</f>
        <v>General Customer</v>
      </c>
    </row>
    <row r="121" spans="1:18" ht="15" customHeight="1" x14ac:dyDescent="0.2">
      <c r="A121" s="17" t="s">
        <v>397</v>
      </c>
      <c r="B121" s="41">
        <v>38</v>
      </c>
      <c r="C121" s="17" t="s">
        <v>262</v>
      </c>
      <c r="D121" s="41" t="s">
        <v>281</v>
      </c>
      <c r="E121" s="17" t="s">
        <v>99</v>
      </c>
      <c r="F121" s="17" t="s">
        <v>176</v>
      </c>
      <c r="G121" s="42">
        <v>108979</v>
      </c>
      <c r="H121" s="17" t="s">
        <v>273</v>
      </c>
      <c r="I121" s="41">
        <v>15</v>
      </c>
      <c r="J121" s="43">
        <v>5536.84</v>
      </c>
      <c r="K121" s="43">
        <v>83052.600000000006</v>
      </c>
      <c r="L121" s="17" t="s">
        <v>117</v>
      </c>
      <c r="M121" s="17" t="s">
        <v>113</v>
      </c>
      <c r="N121" s="17" t="s">
        <v>116</v>
      </c>
      <c r="O121" s="17" t="s">
        <v>195</v>
      </c>
      <c r="P121" s="17" t="s">
        <v>176</v>
      </c>
      <c r="Q121" s="44">
        <v>45856</v>
      </c>
      <c r="R121" s="17" t="str">
        <f ca="1">IF(AND(K121&gt;=100000,O121="High"),"Premium Customer",IF(AND(I121&gt;=12,K121&gt;=50000),"Loyal Customer",IF(AND(P121="High",J121&lt;1500),"Bargain Seeker",IF(AND(TODAY()-Q121&gt;180,I121&lt;5),"At Risk","General Customer"))))</f>
        <v>Loyal Customer</v>
      </c>
    </row>
    <row r="122" spans="1:18" ht="15" customHeight="1" x14ac:dyDescent="0.2">
      <c r="A122" s="19" t="s">
        <v>398</v>
      </c>
      <c r="B122" s="37">
        <v>51</v>
      </c>
      <c r="C122" s="19" t="s">
        <v>270</v>
      </c>
      <c r="D122" s="37" t="s">
        <v>281</v>
      </c>
      <c r="E122" s="19" t="s">
        <v>99</v>
      </c>
      <c r="F122" s="19" t="s">
        <v>176</v>
      </c>
      <c r="G122" s="38">
        <v>71581</v>
      </c>
      <c r="H122" s="19" t="s">
        <v>273</v>
      </c>
      <c r="I122" s="37">
        <v>6</v>
      </c>
      <c r="J122" s="39">
        <v>2784.49</v>
      </c>
      <c r="K122" s="39">
        <v>16706.939999999999</v>
      </c>
      <c r="L122" s="19" t="s">
        <v>115</v>
      </c>
      <c r="M122" s="19" t="s">
        <v>118</v>
      </c>
      <c r="N122" s="19" t="s">
        <v>116</v>
      </c>
      <c r="O122" s="19" t="s">
        <v>176</v>
      </c>
      <c r="P122" s="19" t="s">
        <v>195</v>
      </c>
      <c r="Q122" s="40">
        <v>45823</v>
      </c>
      <c r="R122" s="19" t="str">
        <f ca="1">IF(AND(K122&gt;=100000,O122="High"),"Premium Customer",IF(AND(I122&gt;=12,K122&gt;=50000),"Loyal Customer",IF(AND(P122="High",J122&lt;1500),"Bargain Seeker",IF(AND(TODAY()-Q122&gt;180,I122&lt;5),"At Risk","General Customer"))))</f>
        <v>General Customer</v>
      </c>
    </row>
    <row r="123" spans="1:18" ht="15" customHeight="1" x14ac:dyDescent="0.2">
      <c r="A123" s="17" t="s">
        <v>399</v>
      </c>
      <c r="B123" s="41">
        <v>58</v>
      </c>
      <c r="C123" s="17" t="s">
        <v>262</v>
      </c>
      <c r="D123" s="41" t="s">
        <v>266</v>
      </c>
      <c r="E123" s="17" t="s">
        <v>98</v>
      </c>
      <c r="F123" s="17" t="s">
        <v>176</v>
      </c>
      <c r="G123" s="42">
        <v>119924</v>
      </c>
      <c r="H123" s="17" t="s">
        <v>268</v>
      </c>
      <c r="I123" s="41">
        <v>3</v>
      </c>
      <c r="J123" s="43">
        <v>4169.8100000000004</v>
      </c>
      <c r="K123" s="43">
        <v>12509.43</v>
      </c>
      <c r="L123" s="17" t="s">
        <v>121</v>
      </c>
      <c r="M123" s="17" t="s">
        <v>113</v>
      </c>
      <c r="N123" s="17" t="s">
        <v>114</v>
      </c>
      <c r="O123" s="17" t="s">
        <v>190</v>
      </c>
      <c r="P123" s="17" t="s">
        <v>176</v>
      </c>
      <c r="Q123" s="44">
        <v>45449</v>
      </c>
      <c r="R123" s="17" t="str">
        <f ca="1">IF(AND(K123&gt;=100000,O123="High"),"Premium Customer",IF(AND(I123&gt;=12,K123&gt;=50000),"Loyal Customer",IF(AND(P123="High",J123&lt;1500),"Bargain Seeker",IF(AND(TODAY()-Q123&gt;180,I123&lt;5),"At Risk","General Customer"))))</f>
        <v>At Risk</v>
      </c>
    </row>
  </sheetData>
  <mergeCells count="2">
    <mergeCell ref="A1:R1"/>
    <mergeCell ref="A2:R2"/>
  </mergeCells>
  <conditionalFormatting sqref="K4:K123">
    <cfRule type="colorScale" priority="6">
      <colorScale>
        <cfvo type="min"/>
        <cfvo type="percentile" val="50"/>
        <cfvo type="max"/>
        <color rgb="FFFFCCCC"/>
        <color rgb="FFFFFF99"/>
        <color rgb="FF00B050"/>
      </colorScale>
    </cfRule>
  </conditionalFormatting>
  <conditionalFormatting sqref="R4:R123">
    <cfRule type="expression" dxfId="3" priority="2">
      <formula>$R4="Premium Customer"</formula>
    </cfRule>
    <cfRule type="expression" dxfId="2" priority="3">
      <formula>$R4="Loyal Customer"</formula>
    </cfRule>
    <cfRule type="expression" dxfId="1" priority="4">
      <formula>$R4="At Risk"</formula>
    </cfRule>
    <cfRule type="expression" dxfId="0" priority="5">
      <formula>$R4="Bargain Seeker"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zoomScaleNormal="100" workbookViewId="0"/>
  </sheetViews>
  <sheetFormatPr defaultColWidth="8.7421875" defaultRowHeight="15" x14ac:dyDescent="0.2"/>
  <cols>
    <col min="1" max="1" width="23.9453125" style="1" customWidth="1"/>
    <col min="2" max="2" width="9.953125" style="1" customWidth="1"/>
    <col min="3" max="3" width="11.97265625" style="1" customWidth="1"/>
    <col min="4" max="5" width="20.04296875" style="1" customWidth="1"/>
    <col min="6" max="6" width="18.0234375" style="1" customWidth="1"/>
    <col min="7" max="7" width="20.04296875" style="1" customWidth="1"/>
    <col min="8" max="8" width="11.97265625" style="1" customWidth="1"/>
    <col min="9" max="9" width="13.98828125" style="1" customWidth="1"/>
    <col min="10" max="10" width="16.0078125" style="1" customWidth="1"/>
    <col min="11" max="11" width="13.98828125" style="1" customWidth="1"/>
    <col min="12" max="12" width="27.98046875" style="1" customWidth="1"/>
  </cols>
  <sheetData>
    <row r="1" spans="1:12" ht="31.5" customHeight="1" x14ac:dyDescent="0.2">
      <c r="A1" s="54" t="s">
        <v>400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spans="1:12" ht="27.75" customHeight="1" x14ac:dyDescent="0.2">
      <c r="A3" s="65" t="s">
        <v>401</v>
      </c>
      <c r="B3" s="65"/>
      <c r="C3" s="65"/>
      <c r="D3" s="66" t="s">
        <v>402</v>
      </c>
      <c r="E3" s="66"/>
      <c r="F3" s="66"/>
      <c r="G3" s="67" t="s">
        <v>403</v>
      </c>
      <c r="H3" s="67"/>
      <c r="I3" s="67"/>
      <c r="J3" s="68" t="s">
        <v>404</v>
      </c>
      <c r="K3" s="68"/>
      <c r="L3" s="68"/>
    </row>
    <row r="4" spans="1:12" ht="36" customHeight="1" x14ac:dyDescent="0.2">
      <c r="A4" s="69">
        <f>COUNTA('Raw Data'!A4:A123)</f>
        <v>120</v>
      </c>
      <c r="B4" s="69"/>
      <c r="C4" s="69"/>
      <c r="D4" s="70">
        <f>SUM('Raw Data'!K4:K123)</f>
        <v>7049663.4600000009</v>
      </c>
      <c r="E4" s="70"/>
      <c r="F4" s="70"/>
      <c r="G4" s="71">
        <f>AVERAGE('Raw Data'!J4:J123)</f>
        <v>4092.6305833333327</v>
      </c>
      <c r="H4" s="71"/>
      <c r="I4" s="71"/>
      <c r="J4" s="72">
        <f ca="1">COUNTIFS('Raw Data'!R4:R123,"Premium Customer")</f>
        <v>5</v>
      </c>
      <c r="K4" s="72"/>
      <c r="L4" s="72"/>
    </row>
    <row r="5" spans="1:12" ht="21.75" customHeight="1" x14ac:dyDescent="0.2">
      <c r="A5" s="73" t="s">
        <v>405</v>
      </c>
      <c r="B5" s="73"/>
      <c r="C5" s="73"/>
      <c r="D5" s="74" t="s">
        <v>406</v>
      </c>
      <c r="E5" s="74"/>
      <c r="F5" s="74"/>
      <c r="G5" s="75" t="s">
        <v>248</v>
      </c>
      <c r="H5" s="75"/>
      <c r="I5" s="75"/>
      <c r="J5" s="76" t="s">
        <v>407</v>
      </c>
      <c r="K5" s="76"/>
      <c r="L5" s="76"/>
    </row>
    <row r="8" spans="1:12" ht="27.75" customHeight="1" x14ac:dyDescent="0.2">
      <c r="A8" s="66" t="s">
        <v>408</v>
      </c>
      <c r="B8" s="66"/>
      <c r="C8" s="66"/>
      <c r="D8" s="77" t="s">
        <v>409</v>
      </c>
      <c r="E8" s="77"/>
      <c r="F8" s="77"/>
      <c r="G8" s="68" t="s">
        <v>410</v>
      </c>
      <c r="H8" s="68"/>
      <c r="I8" s="68"/>
      <c r="J8" s="65" t="s">
        <v>411</v>
      </c>
      <c r="K8" s="65"/>
      <c r="L8" s="65"/>
    </row>
    <row r="9" spans="1:12" ht="36" customHeight="1" x14ac:dyDescent="0.2">
      <c r="A9" s="78">
        <f ca="1">COUNTIFS('Raw Data'!R4:R123,"Loyal Customer")</f>
        <v>51</v>
      </c>
      <c r="B9" s="78"/>
      <c r="C9" s="78"/>
      <c r="D9" s="79">
        <f ca="1">COUNTIFS('Raw Data'!R4:R123,"At Risk")</f>
        <v>13</v>
      </c>
      <c r="E9" s="79"/>
      <c r="F9" s="79"/>
      <c r="G9" s="72">
        <f ca="1">COUNTIFS('Raw Data'!R4:R123,"Bargain Seeker")</f>
        <v>5</v>
      </c>
      <c r="H9" s="72"/>
      <c r="I9" s="72"/>
      <c r="J9" s="80">
        <f>COUNTIFS('Raw Data'!N4:N123,"Returning")/COUNTA('Raw Data'!A4:A123)</f>
        <v>0.67500000000000004</v>
      </c>
      <c r="K9" s="80"/>
      <c r="L9" s="80"/>
    </row>
    <row r="10" spans="1:12" ht="21.75" customHeight="1" x14ac:dyDescent="0.2">
      <c r="A10" s="74" t="s">
        <v>412</v>
      </c>
      <c r="B10" s="74"/>
      <c r="C10" s="74"/>
      <c r="D10" s="81" t="s">
        <v>413</v>
      </c>
      <c r="E10" s="81"/>
      <c r="F10" s="81"/>
      <c r="G10" s="76" t="s">
        <v>414</v>
      </c>
      <c r="H10" s="76"/>
      <c r="I10" s="76"/>
      <c r="J10" s="73" t="s">
        <v>415</v>
      </c>
      <c r="K10" s="73"/>
      <c r="L10" s="73"/>
    </row>
    <row r="13" spans="1:12" ht="27.75" customHeight="1" x14ac:dyDescent="0.2">
      <c r="A13" s="82" t="s">
        <v>416</v>
      </c>
      <c r="B13" s="82"/>
      <c r="C13" s="82"/>
      <c r="D13" s="83" t="s">
        <v>417</v>
      </c>
      <c r="E13" s="83"/>
      <c r="F13" s="83"/>
      <c r="G13" s="66" t="s">
        <v>418</v>
      </c>
      <c r="H13" s="66"/>
      <c r="I13" s="66"/>
      <c r="J13" s="67" t="s">
        <v>419</v>
      </c>
      <c r="K13" s="67"/>
      <c r="L13" s="67"/>
    </row>
    <row r="14" spans="1:12" ht="36" customHeight="1" x14ac:dyDescent="0.2">
      <c r="A14" s="84">
        <f>AVERAGE('Raw Data'!I4:I123)</f>
        <v>13.716666666666667</v>
      </c>
      <c r="B14" s="84"/>
      <c r="C14" s="84"/>
      <c r="D14" s="85">
        <f>COUNTIFS('Raw Data'!M4:M123,"Online")/COUNTA('Raw Data'!A4:A123)</f>
        <v>0.52500000000000002</v>
      </c>
      <c r="E14" s="85"/>
      <c r="F14" s="85"/>
      <c r="G14" s="86">
        <f>COUNTIFS('Raw Data'!O4:O123,"High")/COUNTA('Raw Data'!A4:A123)</f>
        <v>0.38333333333333336</v>
      </c>
      <c r="H14" s="86"/>
      <c r="I14" s="86"/>
      <c r="J14" s="87">
        <f ca="1">SUMIFS('Raw Data'!K4:K123,'Raw Data'!R4:R123,"Premium Customer")</f>
        <v>696035.32</v>
      </c>
      <c r="K14" s="87"/>
      <c r="L14" s="87"/>
    </row>
    <row r="15" spans="1:12" ht="21.75" customHeight="1" x14ac:dyDescent="0.2">
      <c r="A15" s="88" t="s">
        <v>420</v>
      </c>
      <c r="B15" s="88"/>
      <c r="C15" s="88"/>
      <c r="D15" s="89" t="s">
        <v>421</v>
      </c>
      <c r="E15" s="89"/>
      <c r="F15" s="89"/>
      <c r="G15" s="74" t="s">
        <v>422</v>
      </c>
      <c r="H15" s="74"/>
      <c r="I15" s="74"/>
      <c r="J15" s="75" t="s">
        <v>423</v>
      </c>
      <c r="K15" s="75"/>
      <c r="L15" s="75"/>
    </row>
    <row r="18" spans="1:12" ht="15" customHeight="1" x14ac:dyDescent="0.2">
      <c r="A18" s="55" t="s">
        <v>424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</row>
    <row r="19" spans="1:12" ht="32.25" customHeight="1" x14ac:dyDescent="0.2">
      <c r="A19" s="2" t="s">
        <v>255</v>
      </c>
      <c r="B19" s="2" t="s">
        <v>88</v>
      </c>
      <c r="C19" s="2" t="s">
        <v>425</v>
      </c>
      <c r="D19" s="2" t="s">
        <v>406</v>
      </c>
      <c r="E19" s="2" t="s">
        <v>248</v>
      </c>
      <c r="F19" s="2" t="s">
        <v>420</v>
      </c>
      <c r="G19" s="2" t="s">
        <v>426</v>
      </c>
      <c r="H19" s="2" t="s">
        <v>422</v>
      </c>
      <c r="I19" s="2" t="s">
        <v>421</v>
      </c>
      <c r="J19" s="2" t="s">
        <v>415</v>
      </c>
      <c r="K19" s="2" t="s">
        <v>427</v>
      </c>
      <c r="L19" s="2" t="s">
        <v>428</v>
      </c>
    </row>
    <row r="20" spans="1:12" ht="15" customHeight="1" x14ac:dyDescent="0.2">
      <c r="A20" s="22" t="s">
        <v>92</v>
      </c>
      <c r="B20" s="12">
        <f ca="1">COUNTIFS('Raw Data'!R4:R123,"Premium Customer")</f>
        <v>5</v>
      </c>
      <c r="C20" s="45">
        <f ca="1">COUNTIFS('Raw Data'!R4:R123,"Premium Customer")/COUNTA('Raw Data'!A4:A123)</f>
        <v>4.1666666666666664E-2</v>
      </c>
      <c r="D20" s="20">
        <f ca="1">SUMIFS('Raw Data'!K4:K123,'Raw Data'!R4:R123,"Premium Customer")</f>
        <v>696035.32</v>
      </c>
      <c r="E20" s="20">
        <f ca="1">IFERROR(AVERAGEIFS('Raw Data'!J4:J123,'Raw Data'!R4:R123,"Premium Customer"),0)</f>
        <v>6935.7479999999996</v>
      </c>
      <c r="F20" s="46">
        <f ca="1">IFERROR(AVERAGEIFS('Raw Data'!I4:I123,'Raw Data'!R4:R123,"Premium Customer"),0)</f>
        <v>20.2</v>
      </c>
      <c r="G20" s="20">
        <f ca="1">IFERROR(AVERAGEIFS('Raw Data'!G4:G123,'Raw Data'!R4:R123,"Premium Customer"),0)</f>
        <v>43548.2</v>
      </c>
      <c r="H20" s="45">
        <f ca="1">IFERROR(COUNTIFS('Raw Data'!R4:R123,"Premium Customer",'Raw Data'!O4:O123,"High")/COUNTIFS('Raw Data'!R4:R123,"Premium Customer"),0)</f>
        <v>1</v>
      </c>
      <c r="I20" s="45">
        <f ca="1">IFERROR(COUNTIFS('Raw Data'!R4:R123,"Premium Customer",'Raw Data'!M4:M123,"Online")/COUNTIFS('Raw Data'!R4:R123,"Premium Customer"),0)</f>
        <v>0.8</v>
      </c>
      <c r="J20" s="45">
        <f ca="1">IFERROR(COUNTIFS('Raw Data'!R4:R123,"Premium Customer",'Raw Data'!N4:N123,"Returning")/COUNTIFS('Raw Data'!R4:R123,"Premium Customer"),0)</f>
        <v>0.8</v>
      </c>
      <c r="K20" s="45">
        <f ca="1">IFERROR(SUMIFS('Raw Data'!K4:K123,'Raw Data'!R4:R123,"Premium Customer")/SUM('Raw Data'!K4:K123),0)</f>
        <v>9.8733127325768805E-2</v>
      </c>
      <c r="L20" s="19" t="s">
        <v>429</v>
      </c>
    </row>
    <row r="21" spans="1:12" ht="15" customHeight="1" x14ac:dyDescent="0.2">
      <c r="A21" s="23" t="s">
        <v>93</v>
      </c>
      <c r="B21" s="7">
        <f ca="1">COUNTIFS('Raw Data'!R4:R123,"Loyal Customer")</f>
        <v>51</v>
      </c>
      <c r="C21" s="47">
        <f ca="1">COUNTIFS('Raw Data'!R4:R123,"Loyal Customer")/COUNTA('Raw Data'!A4:A123)</f>
        <v>0.42499999999999999</v>
      </c>
      <c r="D21" s="18">
        <f ca="1">SUMIFS('Raw Data'!K4:K123,'Raw Data'!R4:R123,"Loyal Customer")</f>
        <v>4819813.7200000007</v>
      </c>
      <c r="E21" s="18">
        <f ca="1">IFERROR(AVERAGEIFS('Raw Data'!J4:J123,'Raw Data'!R4:R123,"Loyal Customer"),0)</f>
        <v>5141.6817647058815</v>
      </c>
      <c r="F21" s="48">
        <f ca="1">IFERROR(AVERAGEIFS('Raw Data'!I4:I123,'Raw Data'!R4:R123,"Loyal Customer"),0)</f>
        <v>18.843137254901961</v>
      </c>
      <c r="G21" s="18">
        <f ca="1">IFERROR(AVERAGEIFS('Raw Data'!G4:G123,'Raw Data'!R4:R123,"Loyal Customer"),0)</f>
        <v>46512.098039215685</v>
      </c>
      <c r="H21" s="47">
        <f ca="1">IFERROR(COUNTIFS('Raw Data'!R4:R123,"Loyal Customer",'Raw Data'!O4:O123,"High")/COUNTIFS('Raw Data'!R4:R123,"Loyal Customer"),0)</f>
        <v>0.23529411764705882</v>
      </c>
      <c r="I21" s="47">
        <f ca="1">IFERROR(COUNTIFS('Raw Data'!R4:R123,"Loyal Customer",'Raw Data'!M4:M123,"Online")/COUNTIFS('Raw Data'!R4:R123,"Loyal Customer"),0)</f>
        <v>0.50980392156862742</v>
      </c>
      <c r="J21" s="47">
        <f ca="1">IFERROR(COUNTIFS('Raw Data'!R4:R123,"Loyal Customer",'Raw Data'!N4:N123,"Returning")/COUNTIFS('Raw Data'!R4:R123,"Loyal Customer"),0)</f>
        <v>0.72549019607843135</v>
      </c>
      <c r="K21" s="47">
        <f ca="1">IFERROR(SUMIFS('Raw Data'!K4:K123,'Raw Data'!R4:R123,"Loyal Customer")/SUM('Raw Data'!K4:K123),0)</f>
        <v>0.68369415750805218</v>
      </c>
      <c r="L21" s="17" t="s">
        <v>430</v>
      </c>
    </row>
    <row r="22" spans="1:12" ht="15" customHeight="1" x14ac:dyDescent="0.2">
      <c r="A22" s="24" t="s">
        <v>94</v>
      </c>
      <c r="B22" s="12">
        <f ca="1">COUNTIFS('Raw Data'!R4:R123,"Bargain Seeker")</f>
        <v>5</v>
      </c>
      <c r="C22" s="45">
        <f ca="1">COUNTIFS('Raw Data'!R4:R123,"Bargain Seeker")/COUNTA('Raw Data'!A4:A123)</f>
        <v>4.1666666666666664E-2</v>
      </c>
      <c r="D22" s="20">
        <f ca="1">SUMIFS('Raw Data'!K4:K123,'Raw Data'!R4:R123,"Bargain Seeker")</f>
        <v>43674.76</v>
      </c>
      <c r="E22" s="20">
        <f ca="1">IFERROR(AVERAGEIFS('Raw Data'!J4:J123,'Raw Data'!R4:R123,"Bargain Seeker"),0)</f>
        <v>708.56799999999998</v>
      </c>
      <c r="F22" s="46">
        <f ca="1">IFERROR(AVERAGEIFS('Raw Data'!I4:I123,'Raw Data'!R4:R123,"Bargain Seeker"),0)</f>
        <v>11.2</v>
      </c>
      <c r="G22" s="20">
        <f ca="1">IFERROR(AVERAGEIFS('Raw Data'!G4:G123,'Raw Data'!R4:R123,"Bargain Seeker"),0)</f>
        <v>33822.199999999997</v>
      </c>
      <c r="H22" s="45">
        <f ca="1">IFERROR(COUNTIFS('Raw Data'!R4:R123,"Bargain Seeker",'Raw Data'!O4:O123,"High")/COUNTIFS('Raw Data'!R4:R123,"Bargain Seeker"),0)</f>
        <v>0.4</v>
      </c>
      <c r="I22" s="45">
        <f ca="1">IFERROR(COUNTIFS('Raw Data'!R4:R123,"Bargain Seeker",'Raw Data'!M4:M123,"Online")/COUNTIFS('Raw Data'!R4:R123,"Bargain Seeker"),0)</f>
        <v>0.8</v>
      </c>
      <c r="J22" s="45">
        <f ca="1">IFERROR(COUNTIFS('Raw Data'!R4:R123,"Bargain Seeker",'Raw Data'!N4:N123,"Returning")/COUNTIFS('Raw Data'!R4:R123,"Bargain Seeker"),0)</f>
        <v>0.2</v>
      </c>
      <c r="K22" s="45">
        <f ca="1">IFERROR(SUMIFS('Raw Data'!K4:K123,'Raw Data'!R4:R123,"Bargain Seeker")/SUM('Raw Data'!K4:K123),0)</f>
        <v>6.1952971581993779E-3</v>
      </c>
      <c r="L22" s="19" t="s">
        <v>431</v>
      </c>
    </row>
    <row r="23" spans="1:12" ht="15" customHeight="1" x14ac:dyDescent="0.2">
      <c r="A23" s="25" t="s">
        <v>95</v>
      </c>
      <c r="B23" s="7">
        <f ca="1">COUNTIFS('Raw Data'!R4:R123,"At Risk")</f>
        <v>13</v>
      </c>
      <c r="C23" s="47">
        <f ca="1">COUNTIFS('Raw Data'!R4:R123,"At Risk")/COUNTA('Raw Data'!A4:A123)</f>
        <v>0.10833333333333334</v>
      </c>
      <c r="D23" s="18">
        <f ca="1">SUMIFS('Raw Data'!K4:K123,'Raw Data'!R4:R123,"At Risk")</f>
        <v>73530.25</v>
      </c>
      <c r="E23" s="18">
        <f ca="1">IFERROR(AVERAGEIFS('Raw Data'!J4:J123,'Raw Data'!R4:R123,"At Risk"),0)</f>
        <v>2511.295384615385</v>
      </c>
      <c r="F23" s="48">
        <f ca="1">IFERROR(AVERAGEIFS('Raw Data'!I4:I123,'Raw Data'!R4:R123,"At Risk"),0)</f>
        <v>2.3846153846153846</v>
      </c>
      <c r="G23" s="18">
        <f ca="1">IFERROR(AVERAGEIFS('Raw Data'!G4:G123,'Raw Data'!R4:R123,"At Risk"),0)</f>
        <v>36127.230769230766</v>
      </c>
      <c r="H23" s="47">
        <f ca="1">IFERROR(COUNTIFS('Raw Data'!R4:R123,"At Risk",'Raw Data'!O4:O123,"High")/COUNTIFS('Raw Data'!R4:R123,"At Risk"),0)</f>
        <v>0.46153846153846156</v>
      </c>
      <c r="I23" s="47">
        <f ca="1">IFERROR(COUNTIFS('Raw Data'!R4:R123,"At Risk",'Raw Data'!M4:M123,"Online")/COUNTIFS('Raw Data'!R4:R123,"At Risk"),0)</f>
        <v>0.61538461538461542</v>
      </c>
      <c r="J23" s="47">
        <f ca="1">IFERROR(COUNTIFS('Raw Data'!R4:R123,"At Risk",'Raw Data'!N4:N123,"Returning")/COUNTIFS('Raw Data'!R4:R123,"At Risk"),0)</f>
        <v>0.76923076923076927</v>
      </c>
      <c r="K23" s="47">
        <f ca="1">IFERROR(SUMIFS('Raw Data'!K4:K123,'Raw Data'!R4:R123,"At Risk")/SUM('Raw Data'!K4:K123),0)</f>
        <v>1.0430320598594929E-2</v>
      </c>
      <c r="L23" s="17" t="s">
        <v>432</v>
      </c>
    </row>
    <row r="24" spans="1:12" ht="15" customHeight="1" x14ac:dyDescent="0.2">
      <c r="A24" s="13" t="s">
        <v>96</v>
      </c>
      <c r="B24" s="12">
        <f ca="1">COUNTIFS('Raw Data'!R4:R123,"General Customer")</f>
        <v>46</v>
      </c>
      <c r="C24" s="45">
        <f ca="1">COUNTIFS('Raw Data'!R4:R123,"General Customer")/COUNTA('Raw Data'!A4:A123)</f>
        <v>0.38333333333333336</v>
      </c>
      <c r="D24" s="20">
        <f ca="1">SUMIFS('Raw Data'!K4:K123,'Raw Data'!R4:R123,"General Customer")</f>
        <v>1416609.41</v>
      </c>
      <c r="E24" s="20">
        <f ca="1">IFERROR(AVERAGEIFS('Raw Data'!J4:J123,'Raw Data'!R4:R123,"General Customer"),0)</f>
        <v>3435.2495652173907</v>
      </c>
      <c r="F24" s="46">
        <f ca="1">IFERROR(AVERAGEIFS('Raw Data'!I4:I123,'Raw Data'!R4:R123,"General Customer"),0)</f>
        <v>10.804347826086957</v>
      </c>
      <c r="G24" s="20">
        <f ca="1">IFERROR(AVERAGEIFS('Raw Data'!G4:G123,'Raw Data'!R4:R123,"General Customer"),0)</f>
        <v>46833.869565217392</v>
      </c>
      <c r="H24" s="45">
        <f ca="1">IFERROR(COUNTIFS('Raw Data'!R4:R123,"General Customer",'Raw Data'!O4:O123,"High")/COUNTIFS('Raw Data'!R4:R123,"General Customer"),0)</f>
        <v>0.45652173913043476</v>
      </c>
      <c r="I24" s="45">
        <f ca="1">IFERROR(COUNTIFS('Raw Data'!R4:R123,"General Customer",'Raw Data'!M4:M123,"Online")/COUNTIFS('Raw Data'!R4:R123,"General Customer"),0)</f>
        <v>0.45652173913043476</v>
      </c>
      <c r="J24" s="45">
        <f ca="1">IFERROR(COUNTIFS('Raw Data'!R4:R123,"General Customer",'Raw Data'!N4:N123,"Returning")/COUNTIFS('Raw Data'!R4:R123,"General Customer"),0)</f>
        <v>0.63043478260869568</v>
      </c>
      <c r="K24" s="45">
        <f ca="1">IFERROR(SUMIFS('Raw Data'!K4:K123,'Raw Data'!R4:R123,"General Customer")/SUM('Raw Data'!K4:K123),0)</f>
        <v>0.20094709740938466</v>
      </c>
      <c r="L24" s="19" t="s">
        <v>433</v>
      </c>
    </row>
    <row r="27" spans="1:12" ht="15" customHeight="1" x14ac:dyDescent="0.2">
      <c r="A27" s="55" t="s">
        <v>434</v>
      </c>
      <c r="B27" s="55"/>
      <c r="C27" s="55"/>
      <c r="D27" s="55"/>
      <c r="E27" s="55"/>
      <c r="F27" s="55"/>
      <c r="G27" s="55"/>
    </row>
    <row r="28" spans="1:12" ht="21.75" customHeight="1" x14ac:dyDescent="0.2">
      <c r="A28" s="2" t="s">
        <v>91</v>
      </c>
      <c r="B28" s="2" t="s">
        <v>106</v>
      </c>
      <c r="C28" s="2" t="s">
        <v>406</v>
      </c>
      <c r="D28" s="2" t="s">
        <v>248</v>
      </c>
      <c r="E28" s="2" t="s">
        <v>435</v>
      </c>
      <c r="F28" s="2" t="s">
        <v>436</v>
      </c>
      <c r="G28" s="2" t="s">
        <v>437</v>
      </c>
    </row>
    <row r="29" spans="1:12" ht="15" customHeight="1" x14ac:dyDescent="0.2">
      <c r="A29" s="3" t="s">
        <v>97</v>
      </c>
      <c r="B29" s="4">
        <f>COUNTIFS('Raw Data'!E4:E123,"North")</f>
        <v>39</v>
      </c>
      <c r="C29" s="5">
        <f>SUMIFS('Raw Data'!K4:K123,'Raw Data'!E4:E123,"North")</f>
        <v>2386428.8899999997</v>
      </c>
      <c r="D29" s="5">
        <f>IFERROR(AVERAGEIFS('Raw Data'!J4:J123,'Raw Data'!E4:E123,"North"),0)</f>
        <v>4438.0730769230768</v>
      </c>
      <c r="E29" s="4">
        <f ca="1">COUNTIFS('Raw Data'!E4:E123,"North",'Raw Data'!R4:R123,"Premium Customer")</f>
        <v>0</v>
      </c>
      <c r="F29" s="6">
        <f>IFERROR(COUNTIFS('Raw Data'!E4:E123,"North",'Raw Data'!M4:M123,"Online")/COUNTIFS('Raw Data'!E4:E123,"North"),0)</f>
        <v>0.38461538461538464</v>
      </c>
      <c r="G29" s="49">
        <f>IFERROR(AVERAGEIFS('Raw Data'!I4:I123,'Raw Data'!E4:E123,"North"),0)</f>
        <v>14.153846153846153</v>
      </c>
    </row>
    <row r="30" spans="1:12" ht="15" customHeight="1" x14ac:dyDescent="0.2">
      <c r="A30" s="8" t="s">
        <v>98</v>
      </c>
      <c r="B30" s="9">
        <f>COUNTIFS('Raw Data'!E4:E123,"South")</f>
        <v>32</v>
      </c>
      <c r="C30" s="10">
        <f>SUMIFS('Raw Data'!K4:K123,'Raw Data'!E4:E123,"South")</f>
        <v>1781865.6099999999</v>
      </c>
      <c r="D30" s="10">
        <f>IFERROR(AVERAGEIFS('Raw Data'!J4:J123,'Raw Data'!E4:E123,"South"),0)</f>
        <v>3879.9809374999995</v>
      </c>
      <c r="E30" s="9">
        <f ca="1">COUNTIFS('Raw Data'!E4:E123,"South",'Raw Data'!R4:R123,"Premium Customer")</f>
        <v>0</v>
      </c>
      <c r="F30" s="11">
        <f>IFERROR(COUNTIFS('Raw Data'!E4:E123,"South",'Raw Data'!M4:M123,"Online")/COUNTIFS('Raw Data'!E4:E123,"South"),0)</f>
        <v>0.46875</v>
      </c>
      <c r="G30" s="50">
        <f>IFERROR(AVERAGEIFS('Raw Data'!I4:I123,'Raw Data'!E4:E123,"South"),0)</f>
        <v>12.875</v>
      </c>
    </row>
    <row r="31" spans="1:12" ht="15" customHeight="1" x14ac:dyDescent="0.2">
      <c r="A31" s="3" t="s">
        <v>99</v>
      </c>
      <c r="B31" s="4">
        <f>COUNTIFS('Raw Data'!E4:E123,"East")</f>
        <v>11</v>
      </c>
      <c r="C31" s="5">
        <f>SUMIFS('Raw Data'!K4:K123,'Raw Data'!E4:E123,"East")</f>
        <v>424058.26000000007</v>
      </c>
      <c r="D31" s="5">
        <f>IFERROR(AVERAGEIFS('Raw Data'!J4:J123,'Raw Data'!E4:E123,"East"),0)</f>
        <v>2729.9690909090914</v>
      </c>
      <c r="E31" s="4">
        <f ca="1">COUNTIFS('Raw Data'!E4:E123,"East",'Raw Data'!R4:R123,"Premium Customer")</f>
        <v>1</v>
      </c>
      <c r="F31" s="6">
        <f>IFERROR(COUNTIFS('Raw Data'!E4:E123,"East",'Raw Data'!M4:M123,"Online")/COUNTIFS('Raw Data'!E4:E123,"East"),0)</f>
        <v>0.72727272727272729</v>
      </c>
      <c r="G31" s="49">
        <f>IFERROR(AVERAGEIFS('Raw Data'!I4:I123,'Raw Data'!E4:E123,"East"),0)</f>
        <v>10.909090909090908</v>
      </c>
    </row>
    <row r="32" spans="1:12" ht="15" customHeight="1" x14ac:dyDescent="0.2">
      <c r="A32" s="8" t="s">
        <v>100</v>
      </c>
      <c r="B32" s="9">
        <f>COUNTIFS('Raw Data'!E4:E123,"West")</f>
        <v>38</v>
      </c>
      <c r="C32" s="10">
        <f>SUMIFS('Raw Data'!K4:K123,'Raw Data'!E4:E123,"West")</f>
        <v>2457310.7000000007</v>
      </c>
      <c r="D32" s="10">
        <f>IFERROR(AVERAGEIFS('Raw Data'!J4:J123,'Raw Data'!E4:E123,"West"),0)</f>
        <v>4311.6255263157891</v>
      </c>
      <c r="E32" s="9">
        <f ca="1">COUNTIFS('Raw Data'!E4:E123,"West",'Raw Data'!R4:R123,"Premium Customer")</f>
        <v>4</v>
      </c>
      <c r="F32" s="11">
        <f>IFERROR(COUNTIFS('Raw Data'!E4:E123,"West",'Raw Data'!M4:M123,"Online")/COUNTIFS('Raw Data'!E4:E123,"West"),0)</f>
        <v>0.65789473684210531</v>
      </c>
      <c r="G32" s="50">
        <f>IFERROR(AVERAGEIFS('Raw Data'!I4:I123,'Raw Data'!E4:E123,"West"),0)</f>
        <v>14.789473684210526</v>
      </c>
    </row>
  </sheetData>
  <mergeCells count="39">
    <mergeCell ref="A18:L18"/>
    <mergeCell ref="A27:G27"/>
    <mergeCell ref="A14:C14"/>
    <mergeCell ref="D14:F14"/>
    <mergeCell ref="G14:I14"/>
    <mergeCell ref="J14:L14"/>
    <mergeCell ref="A15:C15"/>
    <mergeCell ref="D15:F15"/>
    <mergeCell ref="G15:I15"/>
    <mergeCell ref="J15:L15"/>
    <mergeCell ref="A10:C10"/>
    <mergeCell ref="D10:F10"/>
    <mergeCell ref="G10:I10"/>
    <mergeCell ref="J10:L10"/>
    <mergeCell ref="A13:C13"/>
    <mergeCell ref="D13:F13"/>
    <mergeCell ref="G13:I13"/>
    <mergeCell ref="J13:L13"/>
    <mergeCell ref="A8:C8"/>
    <mergeCell ref="D8:F8"/>
    <mergeCell ref="G8:I8"/>
    <mergeCell ref="J8:L8"/>
    <mergeCell ref="A9:C9"/>
    <mergeCell ref="D9:F9"/>
    <mergeCell ref="G9:I9"/>
    <mergeCell ref="J9:L9"/>
    <mergeCell ref="A4:C4"/>
    <mergeCell ref="D4:F4"/>
    <mergeCell ref="G4:I4"/>
    <mergeCell ref="J4:L4"/>
    <mergeCell ref="A5:C5"/>
    <mergeCell ref="D5:F5"/>
    <mergeCell ref="G5:I5"/>
    <mergeCell ref="J5:L5"/>
    <mergeCell ref="A1:L1"/>
    <mergeCell ref="A3:C3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9"/>
  <sheetViews>
    <sheetView showGridLines="0" zoomScaleNormal="100" workbookViewId="0"/>
  </sheetViews>
  <sheetFormatPr defaultColWidth="8.7421875" defaultRowHeight="15" x14ac:dyDescent="0.2"/>
  <cols>
    <col min="1" max="21" width="9.55078125" style="1" customWidth="1"/>
  </cols>
  <sheetData>
    <row r="1" spans="1:21" ht="37.5" customHeight="1" x14ac:dyDescent="0.2">
      <c r="A1" s="90" t="s">
        <v>438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</row>
    <row r="2" spans="1:21" ht="15.75" customHeight="1" x14ac:dyDescent="0.2">
      <c r="A2" s="64" t="s">
        <v>439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5" customHeight="1" x14ac:dyDescent="0.2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24" customHeight="1" x14ac:dyDescent="0.2">
      <c r="A4" s="91" t="s">
        <v>401</v>
      </c>
      <c r="B4" s="91"/>
      <c r="C4" s="91"/>
      <c r="D4" s="92" t="s">
        <v>402</v>
      </c>
      <c r="E4" s="92"/>
      <c r="F4" s="92"/>
      <c r="G4" s="93" t="s">
        <v>403</v>
      </c>
      <c r="H4" s="93"/>
      <c r="I4" s="93"/>
      <c r="J4" s="94" t="s">
        <v>404</v>
      </c>
      <c r="K4" s="94"/>
      <c r="L4" s="94"/>
      <c r="M4" s="95" t="s">
        <v>409</v>
      </c>
      <c r="N4" s="95"/>
      <c r="O4" s="95"/>
      <c r="P4" s="96" t="s">
        <v>411</v>
      </c>
      <c r="Q4" s="96"/>
      <c r="R4" s="96"/>
      <c r="S4" s="51"/>
      <c r="T4" s="51"/>
      <c r="U4" s="51"/>
    </row>
    <row r="5" spans="1:21" ht="33.75" customHeight="1" x14ac:dyDescent="0.2">
      <c r="A5" s="104">
        <f>COUNTA('Raw Data'!A4:A123)</f>
        <v>120</v>
      </c>
      <c r="B5" s="104"/>
      <c r="C5" s="104"/>
      <c r="D5" s="105">
        <f>SUM('Raw Data'!K4:K123)</f>
        <v>7049663.4600000009</v>
      </c>
      <c r="E5" s="105"/>
      <c r="F5" s="105"/>
      <c r="G5" s="106">
        <f>AVERAGE('Raw Data'!J4:J123)</f>
        <v>4092.6305833333327</v>
      </c>
      <c r="H5" s="106"/>
      <c r="I5" s="106"/>
      <c r="J5" s="107">
        <f ca="1">COUNTIFS('Raw Data'!R4:R123,"Premium Customer")</f>
        <v>5</v>
      </c>
      <c r="K5" s="107"/>
      <c r="L5" s="107"/>
      <c r="M5" s="108">
        <f ca="1">COUNTIFS('Raw Data'!R4:R123,"At Risk")</f>
        <v>13</v>
      </c>
      <c r="N5" s="108"/>
      <c r="O5" s="108"/>
      <c r="P5" s="97">
        <f>COUNTIFS('Raw Data'!N4:N123,"Returning")/COUNTA('Raw Data'!A4:A123)</f>
        <v>0.67500000000000004</v>
      </c>
      <c r="Q5" s="97"/>
      <c r="R5" s="97"/>
      <c r="S5" s="51"/>
      <c r="T5" s="51"/>
      <c r="U5" s="51"/>
    </row>
    <row r="6" spans="1:21" ht="19.5" customHeight="1" x14ac:dyDescent="0.2">
      <c r="A6" s="104"/>
      <c r="B6" s="104"/>
      <c r="C6" s="104"/>
      <c r="D6" s="105"/>
      <c r="E6" s="105"/>
      <c r="F6" s="105"/>
      <c r="G6" s="106"/>
      <c r="H6" s="106"/>
      <c r="I6" s="106"/>
      <c r="J6" s="107"/>
      <c r="K6" s="107"/>
      <c r="L6" s="107"/>
      <c r="M6" s="108"/>
      <c r="N6" s="108"/>
      <c r="O6" s="108"/>
      <c r="P6" s="97"/>
      <c r="Q6" s="97"/>
      <c r="R6" s="97"/>
      <c r="S6" s="51"/>
      <c r="T6" s="51"/>
      <c r="U6" s="51"/>
    </row>
    <row r="7" spans="1:21" ht="18" customHeight="1" x14ac:dyDescent="0.2">
      <c r="A7" s="98" t="s">
        <v>440</v>
      </c>
      <c r="B7" s="98"/>
      <c r="C7" s="98"/>
      <c r="D7" s="99" t="s">
        <v>441</v>
      </c>
      <c r="E7" s="99"/>
      <c r="F7" s="99"/>
      <c r="G7" s="100" t="s">
        <v>442</v>
      </c>
      <c r="H7" s="100"/>
      <c r="I7" s="100"/>
      <c r="J7" s="101" t="s">
        <v>443</v>
      </c>
      <c r="K7" s="101"/>
      <c r="L7" s="101"/>
      <c r="M7" s="102" t="s">
        <v>444</v>
      </c>
      <c r="N7" s="102"/>
      <c r="O7" s="102"/>
      <c r="P7" s="103" t="s">
        <v>445</v>
      </c>
      <c r="Q7" s="103"/>
      <c r="R7" s="103"/>
      <c r="S7" s="51"/>
      <c r="T7" s="51"/>
      <c r="U7" s="51"/>
    </row>
    <row r="8" spans="1:21" ht="7.5" customHeight="1" x14ac:dyDescent="0.2">
      <c r="A8" s="112"/>
      <c r="B8" s="112"/>
      <c r="C8" s="112"/>
      <c r="D8" s="113"/>
      <c r="E8" s="113"/>
      <c r="F8" s="113"/>
      <c r="G8" s="114"/>
      <c r="H8" s="114"/>
      <c r="I8" s="114"/>
      <c r="J8" s="115"/>
      <c r="K8" s="115"/>
      <c r="L8" s="115"/>
      <c r="M8" s="116"/>
      <c r="N8" s="116"/>
      <c r="O8" s="116"/>
      <c r="P8" s="109"/>
      <c r="Q8" s="109"/>
      <c r="R8" s="109"/>
      <c r="S8" s="51"/>
      <c r="T8" s="51"/>
      <c r="U8" s="51"/>
    </row>
    <row r="9" spans="1:21" ht="3.75" customHeight="1" x14ac:dyDescent="0.2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</row>
    <row r="10" spans="1:21" ht="15" customHeight="1" x14ac:dyDescent="0.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21" ht="1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5" customHeight="1" x14ac:dyDescent="0.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 spans="1:21" ht="15" customHeight="1" x14ac:dyDescent="0.2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1" ht="15" customHeight="1" x14ac:dyDescent="0.2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 spans="1:21" ht="15" customHeight="1" x14ac:dyDescent="0.2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1" ht="15" customHeight="1" x14ac:dyDescent="0.2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 ht="15" customHeight="1" x14ac:dyDescent="0.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pans="1:21" ht="15" customHeight="1" x14ac:dyDescent="0.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 spans="1:21" ht="15" customHeight="1" x14ac:dyDescent="0.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1:21" ht="15" customHeight="1" x14ac:dyDescent="0.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1:21" ht="15" customHeight="1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1:21" ht="15" customHeight="1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5" customHeight="1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21" ht="15" customHeight="1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5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1:21" ht="15" customHeight="1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 ht="15" customHeight="1" x14ac:dyDescent="0.2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1" ht="15" customHeight="1" x14ac:dyDescent="0.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1:21" ht="15" customHeight="1" x14ac:dyDescent="0.2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21" ht="15" customHeight="1" x14ac:dyDescent="0.2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 spans="1:21" ht="15" customHeight="1" x14ac:dyDescent="0.2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21" ht="15" customHeight="1" x14ac:dyDescent="0.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 spans="1:21" ht="15" customHeight="1" x14ac:dyDescent="0.2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 spans="1:21" ht="15" customHeight="1" x14ac:dyDescent="0.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 spans="1:21" ht="15" customHeight="1" x14ac:dyDescent="0.2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5" customHeight="1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 spans="1:21" ht="15" customHeight="1" x14ac:dyDescent="0.2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5" customHeight="1" x14ac:dyDescent="0.2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1:21" ht="15" customHeight="1" x14ac:dyDescent="0.2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 spans="1:21" ht="15" customHeight="1" x14ac:dyDescent="0.2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spans="1:21" ht="15" customHeight="1" x14ac:dyDescent="0.2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 spans="1:21" ht="15" customHeight="1" x14ac:dyDescent="0.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spans="1:21" ht="15" customHeight="1" x14ac:dyDescent="0.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 spans="1:21" ht="15" customHeight="1" x14ac:dyDescent="0.2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spans="1:21" ht="1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ht="1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1:21" ht="24" customHeight="1" x14ac:dyDescent="0.2">
      <c r="A47" s="60" t="s">
        <v>446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ht="27.75" customHeight="1" x14ac:dyDescent="0.2">
      <c r="A48" s="111" t="s">
        <v>447</v>
      </c>
      <c r="B48" s="111"/>
      <c r="C48" s="111"/>
      <c r="D48" s="57" t="s">
        <v>448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1:21" ht="27.75" customHeight="1" x14ac:dyDescent="0.2">
      <c r="A49" s="111" t="s">
        <v>449</v>
      </c>
      <c r="B49" s="111"/>
      <c r="C49" s="111"/>
      <c r="D49" s="58" t="s">
        <v>450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spans="1:21" ht="27.75" customHeight="1" x14ac:dyDescent="0.2">
      <c r="A50" s="111" t="s">
        <v>451</v>
      </c>
      <c r="B50" s="111"/>
      <c r="C50" s="111"/>
      <c r="D50" s="57" t="s">
        <v>452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spans="1:21" ht="27.75" customHeight="1" x14ac:dyDescent="0.2">
      <c r="A51" s="111" t="s">
        <v>453</v>
      </c>
      <c r="B51" s="111"/>
      <c r="C51" s="111"/>
      <c r="D51" s="58" t="s">
        <v>454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</row>
    <row r="52" spans="1:21" ht="27.75" customHeight="1" x14ac:dyDescent="0.2">
      <c r="A52" s="111" t="s">
        <v>455</v>
      </c>
      <c r="B52" s="111"/>
      <c r="C52" s="111"/>
      <c r="D52" s="57" t="s">
        <v>456</v>
      </c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 spans="1:21" ht="27.75" customHeight="1" x14ac:dyDescent="0.2">
      <c r="A53" s="111" t="s">
        <v>457</v>
      </c>
      <c r="B53" s="111"/>
      <c r="C53" s="111"/>
      <c r="D53" s="58" t="s">
        <v>458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</row>
    <row r="54" spans="1:21" ht="15" customHeight="1" x14ac:dyDescent="0.2">
      <c r="A54" s="51" t="s">
        <v>95</v>
      </c>
      <c r="B54" s="52">
        <f ca="1">COUNTIFS('Raw Data'!R4:R123,"At Risk")</f>
        <v>13</v>
      </c>
      <c r="C54" s="53">
        <f ca="1">SUMIFS('Raw Data'!K4:K123,'Raw Data'!R4:R123,"At Risk")</f>
        <v>73530.25</v>
      </c>
      <c r="D54" s="51"/>
      <c r="E54" s="51" t="s">
        <v>100</v>
      </c>
      <c r="F54" s="53">
        <f>SUMIFS('Raw Data'!K4:K123,'Raw Data'!E4:E123,"West")</f>
        <v>2457310.7000000007</v>
      </c>
      <c r="G54" s="51">
        <f>COUNTIFS('Raw Data'!E4:E123,"West")</f>
        <v>38</v>
      </c>
      <c r="H54" s="51"/>
      <c r="I54" s="51" t="s">
        <v>119</v>
      </c>
      <c r="J54" s="51">
        <f>COUNTIFS('Raw Data'!L4:L123,"Home &amp; Decor")</f>
        <v>19</v>
      </c>
      <c r="K54" s="51"/>
      <c r="L54" s="51" t="s">
        <v>95</v>
      </c>
      <c r="M54" s="51">
        <f ca="1">IFERROR(AVERAGEIFS('Raw Data'!I4:I123,'Raw Data'!R4:R123,"At Risk"),0)</f>
        <v>2.3846153846153846</v>
      </c>
      <c r="N54" s="51">
        <f ca="1">IFERROR(AVERAGEIFS('Raw Data'!J4:J123,'Raw Data'!R4:R123,"At Risk"),0)</f>
        <v>2511.295384615385</v>
      </c>
      <c r="O54" s="51"/>
      <c r="P54" s="51"/>
      <c r="Q54" s="51"/>
      <c r="R54" s="51"/>
      <c r="S54" s="51"/>
      <c r="T54" s="51"/>
      <c r="U54" s="51"/>
    </row>
    <row r="55" spans="1:21" ht="15" customHeight="1" x14ac:dyDescent="0.2">
      <c r="A55" s="51" t="s">
        <v>96</v>
      </c>
      <c r="B55" s="52">
        <f ca="1">COUNTIFS('Raw Data'!R4:R123,"General Customer")</f>
        <v>46</v>
      </c>
      <c r="C55" s="53">
        <f ca="1">SUMIFS('Raw Data'!K4:K123,'Raw Data'!R4:R123,"General Customer")</f>
        <v>1416609.41</v>
      </c>
      <c r="D55" s="51"/>
      <c r="E55" s="51"/>
      <c r="F55" s="51"/>
      <c r="G55" s="51"/>
      <c r="H55" s="51"/>
      <c r="I55" s="51" t="s">
        <v>120</v>
      </c>
      <c r="J55" s="51">
        <f>COUNTIFS('Raw Data'!L4:L123,"Sports")</f>
        <v>14</v>
      </c>
      <c r="K55" s="51"/>
      <c r="L55" s="51" t="s">
        <v>96</v>
      </c>
      <c r="M55" s="51">
        <f ca="1">IFERROR(AVERAGEIFS('Raw Data'!I4:I123,'Raw Data'!R4:R123,"General Customer"),0)</f>
        <v>10.804347826086957</v>
      </c>
      <c r="N55" s="51">
        <f ca="1">IFERROR(AVERAGEIFS('Raw Data'!J4:J123,'Raw Data'!R4:R123,"General Customer"),0)</f>
        <v>3435.2495652173907</v>
      </c>
      <c r="O55" s="51"/>
      <c r="P55" s="51"/>
      <c r="Q55" s="51"/>
      <c r="R55" s="51"/>
      <c r="S55" s="51"/>
      <c r="T55" s="51"/>
      <c r="U55" s="51"/>
    </row>
    <row r="56" spans="1:21" ht="15" customHeight="1" x14ac:dyDescent="0.2">
      <c r="A56" s="51"/>
      <c r="B56" s="51"/>
      <c r="C56" s="51"/>
      <c r="D56" s="51"/>
      <c r="E56" s="51"/>
      <c r="F56" s="51"/>
      <c r="G56" s="51"/>
      <c r="H56" s="51"/>
      <c r="I56" s="51" t="s">
        <v>121</v>
      </c>
      <c r="J56" s="51">
        <f>COUNTIFS('Raw Data'!L4:L123,"Beauty")</f>
        <v>19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spans="1:21" ht="15" customHeight="1" x14ac:dyDescent="0.2">
      <c r="A57" s="51"/>
      <c r="B57" s="51"/>
      <c r="C57" s="51"/>
      <c r="D57" s="51"/>
      <c r="E57" s="51"/>
      <c r="F57" s="51"/>
      <c r="G57" s="51"/>
      <c r="H57" s="51"/>
      <c r="I57" s="51" t="s">
        <v>122</v>
      </c>
      <c r="J57" s="51">
        <f>COUNTIFS('Raw Data'!L4:L123,"Books")</f>
        <v>8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spans="1:21" ht="15" customHeight="1" x14ac:dyDescent="0.2">
      <c r="A58" s="51"/>
      <c r="B58" s="51"/>
      <c r="C58" s="51"/>
      <c r="D58" s="51"/>
      <c r="E58" s="51"/>
      <c r="F58" s="51"/>
      <c r="G58" s="51"/>
      <c r="H58" s="51"/>
      <c r="I58" s="51" t="s">
        <v>123</v>
      </c>
      <c r="J58" s="51">
        <f>COUNTIFS('Raw Data'!L4:L123,"Travel")</f>
        <v>10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spans="1:21" ht="1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</row>
  </sheetData>
  <mergeCells count="40">
    <mergeCell ref="A52:C52"/>
    <mergeCell ref="D52:U52"/>
    <mergeCell ref="A53:C53"/>
    <mergeCell ref="D53:U53"/>
    <mergeCell ref="A49:C49"/>
    <mergeCell ref="D49:U49"/>
    <mergeCell ref="A50:C50"/>
    <mergeCell ref="D50:U50"/>
    <mergeCell ref="A51:C51"/>
    <mergeCell ref="D51:U51"/>
    <mergeCell ref="P8:R8"/>
    <mergeCell ref="A9:U9"/>
    <mergeCell ref="A47:U47"/>
    <mergeCell ref="A48:C48"/>
    <mergeCell ref="D48:U48"/>
    <mergeCell ref="A8:C8"/>
    <mergeCell ref="D8:F8"/>
    <mergeCell ref="G8:I8"/>
    <mergeCell ref="J8:L8"/>
    <mergeCell ref="M8:O8"/>
    <mergeCell ref="P5:R6"/>
    <mergeCell ref="A7:C7"/>
    <mergeCell ref="D7:F7"/>
    <mergeCell ref="G7:I7"/>
    <mergeCell ref="J7:L7"/>
    <mergeCell ref="M7:O7"/>
    <mergeCell ref="P7:R7"/>
    <mergeCell ref="A5:C6"/>
    <mergeCell ref="D5:F6"/>
    <mergeCell ref="G5:I6"/>
    <mergeCell ref="J5:L6"/>
    <mergeCell ref="M5:O6"/>
    <mergeCell ref="A1:U1"/>
    <mergeCell ref="A2:U2"/>
    <mergeCell ref="A4:C4"/>
    <mergeCell ref="D4:F4"/>
    <mergeCell ref="G4:I4"/>
    <mergeCell ref="J4:L4"/>
    <mergeCell ref="M4:O4"/>
    <mergeCell ref="P4:R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Guide</vt:lpstr>
      <vt:lpstr>Pivot Analysis</vt:lpstr>
      <vt:lpstr>Segmentation Logic</vt:lpstr>
      <vt:lpstr>Cleaned Data</vt:lpstr>
      <vt:lpstr>Raw Data</vt:lpstr>
      <vt:lpstr>KPI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2026-04-13T09:47:46Z</dcterms:created>
  <dcterms:modified xsi:type="dcterms:W3CDTF">2026-04-13T09:48:23Z</dcterms:modified>
  <dc:language>en-US</dc:language>
</cp:coreProperties>
</file>